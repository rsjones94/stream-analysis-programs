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ky.jones\Desktop\"/>
    </mc:Choice>
  </mc:AlternateContent>
  <bookViews>
    <workbookView xWindow="19160" yWindow="320" windowWidth="28610" windowHeight="12380" tabRatio="769"/>
  </bookViews>
  <sheets>
    <sheet name="XS A" sheetId="58" r:id="rId1"/>
  </sheets>
  <definedNames>
    <definedName name="BKF" localSheetId="0">'XS A'!$Z$10:$Z$11</definedName>
    <definedName name="currentEL" localSheetId="0">'XS A'!$C$52:$C$1052</definedName>
    <definedName name="currentSTATION" localSheetId="0">'XS A'!$B$52:$B$1052</definedName>
    <definedName name="FPA" localSheetId="0">'XS A'!$AA$10:$AA$11</definedName>
    <definedName name="LEFTRIGHT" localSheetId="0">'XS A'!$Y$10:$Y$11</definedName>
    <definedName name="_xlnm.Print_Area" localSheetId="0">'XS A'!$B$1:$R$45</definedName>
    <definedName name="TITLE" localSheetId="0">'XS A'!$R$47</definedName>
  </definedNames>
  <calcPr calcId="152511"/>
</workbook>
</file>

<file path=xl/calcChain.xml><?xml version="1.0" encoding="utf-8"?>
<calcChain xmlns="http://schemas.openxmlformats.org/spreadsheetml/2006/main">
  <c r="X42" i="58" l="1"/>
  <c r="U42" i="58" l="1"/>
  <c r="W18" i="58" l="1"/>
  <c r="U11" i="58" l="1"/>
  <c r="U10" i="58"/>
  <c r="AK107" i="58" l="1"/>
  <c r="AU107" i="58" s="1"/>
  <c r="AT107" i="58" s="1"/>
  <c r="AK106" i="58"/>
  <c r="AK105" i="58"/>
  <c r="AU105" i="58" s="1"/>
  <c r="AT105" i="58" s="1"/>
  <c r="AK104" i="58"/>
  <c r="AU104" i="58" s="1"/>
  <c r="AT104" i="58" s="1"/>
  <c r="AK103" i="58"/>
  <c r="AU103" i="58" s="1"/>
  <c r="AT103" i="58" s="1"/>
  <c r="AK102" i="58"/>
  <c r="AK101" i="58"/>
  <c r="AU101" i="58" s="1"/>
  <c r="AT101" i="58" s="1"/>
  <c r="AK100" i="58"/>
  <c r="AU100" i="58" s="1"/>
  <c r="AT100" i="58" s="1"/>
  <c r="AK99" i="58"/>
  <c r="AU99" i="58" s="1"/>
  <c r="AT99" i="58" s="1"/>
  <c r="AK98" i="58"/>
  <c r="AK97" i="58"/>
  <c r="AU97" i="58" s="1"/>
  <c r="AT97" i="58" s="1"/>
  <c r="AK96" i="58"/>
  <c r="AU96" i="58" s="1"/>
  <c r="AT96" i="58" s="1"/>
  <c r="AK95" i="58"/>
  <c r="AU95" i="58" s="1"/>
  <c r="AT95" i="58" s="1"/>
  <c r="AK94" i="58"/>
  <c r="AK93" i="58"/>
  <c r="AU93" i="58"/>
  <c r="AT93" i="58" s="1"/>
  <c r="AK92" i="58"/>
  <c r="AU92" i="58" s="1"/>
  <c r="AT92" i="58" s="1"/>
  <c r="AK91" i="58"/>
  <c r="AU91" i="58" s="1"/>
  <c r="AT91" i="58" s="1"/>
  <c r="AK90" i="58"/>
  <c r="AK89" i="58"/>
  <c r="AU89" i="58" s="1"/>
  <c r="AT89" i="58" s="1"/>
  <c r="AK88" i="58"/>
  <c r="AU88" i="58" s="1"/>
  <c r="AT88" i="58" s="1"/>
  <c r="AK87" i="58"/>
  <c r="AU87" i="58" s="1"/>
  <c r="AT87" i="58" s="1"/>
  <c r="AK86" i="58"/>
  <c r="AK85" i="58"/>
  <c r="AU85" i="58" s="1"/>
  <c r="AT85" i="58" s="1"/>
  <c r="AK84" i="58"/>
  <c r="AU84" i="58" s="1"/>
  <c r="AT84" i="58" s="1"/>
  <c r="AK83" i="58"/>
  <c r="AU83" i="58" s="1"/>
  <c r="AT83" i="58" s="1"/>
  <c r="AK82" i="58"/>
  <c r="AK81" i="58"/>
  <c r="AU81" i="58" s="1"/>
  <c r="AT81" i="58" s="1"/>
  <c r="AK80" i="58"/>
  <c r="AU80" i="58" s="1"/>
  <c r="AT80" i="58" s="1"/>
  <c r="AK79" i="58"/>
  <c r="AU79" i="58" s="1"/>
  <c r="AT79" i="58" s="1"/>
  <c r="AK78" i="58"/>
  <c r="AK77" i="58"/>
  <c r="AU77" i="58" s="1"/>
  <c r="AT77" i="58" s="1"/>
  <c r="AK76" i="58"/>
  <c r="AU76" i="58" s="1"/>
  <c r="AT76" i="58" s="1"/>
  <c r="AK75" i="58"/>
  <c r="AU75" i="58" s="1"/>
  <c r="AT75" i="58" s="1"/>
  <c r="AK74" i="58"/>
  <c r="AK73" i="58"/>
  <c r="AU73" i="58" s="1"/>
  <c r="AT73" i="58" s="1"/>
  <c r="AK72" i="58"/>
  <c r="AU72" i="58" s="1"/>
  <c r="AT72" i="58" s="1"/>
  <c r="AK71" i="58"/>
  <c r="AU71" i="58" s="1"/>
  <c r="AT71" i="58" s="1"/>
  <c r="AK70" i="58"/>
  <c r="AK69" i="58"/>
  <c r="AU69" i="58" s="1"/>
  <c r="AT69" i="58" s="1"/>
  <c r="AK68" i="58"/>
  <c r="AU68" i="58" s="1"/>
  <c r="AT68" i="58" s="1"/>
  <c r="AK67" i="58"/>
  <c r="AU67" i="58" s="1"/>
  <c r="AT67" i="58" s="1"/>
  <c r="AK66" i="58"/>
  <c r="AK65" i="58"/>
  <c r="AU65" i="58" s="1"/>
  <c r="AT65" i="58" s="1"/>
  <c r="AK64" i="58"/>
  <c r="AU64" i="58" s="1"/>
  <c r="AT64" i="58" s="1"/>
  <c r="AK63" i="58"/>
  <c r="AU63" i="58" s="1"/>
  <c r="AT63" i="58" s="1"/>
  <c r="AK62" i="58"/>
  <c r="AK61" i="58"/>
  <c r="AU61" i="58" s="1"/>
  <c r="AT61" i="58" s="1"/>
  <c r="AK60" i="58"/>
  <c r="AU60" i="58" s="1"/>
  <c r="AT60" i="58" s="1"/>
  <c r="AK59" i="58"/>
  <c r="AU59" i="58" s="1"/>
  <c r="AT59" i="58" s="1"/>
  <c r="AK58" i="58"/>
  <c r="AK57" i="58"/>
  <c r="AU57" i="58" s="1"/>
  <c r="AK56" i="58"/>
  <c r="AU56" i="58" s="1"/>
  <c r="AK55" i="58"/>
  <c r="AU55" i="58" s="1"/>
  <c r="AK54" i="58"/>
  <c r="AK53" i="58"/>
  <c r="AU53" i="58" s="1"/>
  <c r="AK52" i="58"/>
  <c r="AU52" i="58" s="1"/>
  <c r="AK51" i="58"/>
  <c r="AU51" i="58" s="1"/>
  <c r="AK50" i="58"/>
  <c r="AK49" i="58"/>
  <c r="AU49" i="58" s="1"/>
  <c r="AK48" i="58"/>
  <c r="AU48" i="58" s="1"/>
  <c r="AK47" i="58"/>
  <c r="AU47" i="58" s="1"/>
  <c r="AK46" i="58"/>
  <c r="AK45" i="58"/>
  <c r="AU45" i="58" s="1"/>
  <c r="AK44" i="58"/>
  <c r="AU44" i="58" s="1"/>
  <c r="AK43" i="58"/>
  <c r="AU43" i="58" s="1"/>
  <c r="AK42" i="58"/>
  <c r="AK41" i="58"/>
  <c r="AU41" i="58" s="1"/>
  <c r="AK40" i="58"/>
  <c r="AU40" i="58" s="1"/>
  <c r="AK39" i="58"/>
  <c r="AU39" i="58" s="1"/>
  <c r="AK38" i="58"/>
  <c r="AK37" i="58"/>
  <c r="AU37" i="58" s="1"/>
  <c r="AK36" i="58"/>
  <c r="AU36" i="58" s="1"/>
  <c r="AK35" i="58"/>
  <c r="AU35" i="58" s="1"/>
  <c r="AK34" i="58"/>
  <c r="AK33" i="58"/>
  <c r="AU33" i="58" s="1"/>
  <c r="AK32" i="58"/>
  <c r="AU32" i="58" s="1"/>
  <c r="AK31" i="58"/>
  <c r="AU31" i="58" s="1"/>
  <c r="AK30" i="58"/>
  <c r="AK29" i="58"/>
  <c r="AU29" i="58" s="1"/>
  <c r="AK28" i="58"/>
  <c r="AU28" i="58" s="1"/>
  <c r="AK27" i="58"/>
  <c r="AU27" i="58" s="1"/>
  <c r="AK26" i="58"/>
  <c r="AU26" i="58" s="1"/>
  <c r="AK25" i="58"/>
  <c r="AK24" i="58"/>
  <c r="AU24" i="58" s="1"/>
  <c r="AK23" i="58"/>
  <c r="AK22" i="58"/>
  <c r="AK21" i="58"/>
  <c r="AU21" i="58" s="1"/>
  <c r="AN19" i="58"/>
  <c r="AJ20" i="58"/>
  <c r="AJ21" i="58"/>
  <c r="AJ22" i="58"/>
  <c r="AJ23" i="58"/>
  <c r="AJ24" i="58"/>
  <c r="AJ25" i="58"/>
  <c r="AJ26" i="58"/>
  <c r="AJ27" i="58"/>
  <c r="AJ28" i="58"/>
  <c r="AJ29" i="58"/>
  <c r="AJ30" i="58"/>
  <c r="AJ31" i="58"/>
  <c r="AJ32" i="58"/>
  <c r="AJ33" i="58"/>
  <c r="AJ34" i="58"/>
  <c r="AJ35" i="58"/>
  <c r="AJ36" i="58"/>
  <c r="AJ37" i="58"/>
  <c r="AJ38" i="58"/>
  <c r="AJ39" i="58"/>
  <c r="AJ40" i="58"/>
  <c r="AJ41" i="58"/>
  <c r="AJ42" i="58"/>
  <c r="AJ43" i="58"/>
  <c r="AJ44" i="58"/>
  <c r="AJ45" i="58"/>
  <c r="AJ46" i="58"/>
  <c r="AJ47" i="58"/>
  <c r="AJ48" i="58"/>
  <c r="AJ49" i="58"/>
  <c r="AJ50" i="58"/>
  <c r="AJ51" i="58"/>
  <c r="AJ52" i="58"/>
  <c r="AJ53" i="58"/>
  <c r="AJ54" i="58"/>
  <c r="AJ55" i="58"/>
  <c r="AJ56" i="58"/>
  <c r="AJ57" i="58"/>
  <c r="AJ58" i="58"/>
  <c r="AJ59" i="58"/>
  <c r="AJ60" i="58"/>
  <c r="AJ61" i="58"/>
  <c r="AJ62" i="58"/>
  <c r="AJ63" i="58"/>
  <c r="AJ64" i="58"/>
  <c r="AJ65" i="58"/>
  <c r="AJ66" i="58"/>
  <c r="AJ67" i="58"/>
  <c r="AJ68" i="58"/>
  <c r="AJ69" i="58"/>
  <c r="AJ70" i="58"/>
  <c r="AJ71" i="58"/>
  <c r="AJ72" i="58"/>
  <c r="AJ73" i="58"/>
  <c r="AJ74" i="58"/>
  <c r="AJ75" i="58"/>
  <c r="AJ76" i="58"/>
  <c r="AJ77" i="58"/>
  <c r="AJ78" i="58"/>
  <c r="AJ79" i="58"/>
  <c r="AJ80" i="58"/>
  <c r="AJ81" i="58"/>
  <c r="AJ82" i="58"/>
  <c r="AJ83" i="58"/>
  <c r="AJ84" i="58"/>
  <c r="AJ85" i="58"/>
  <c r="AJ86" i="58"/>
  <c r="AJ87" i="58"/>
  <c r="AJ88" i="58"/>
  <c r="AJ89" i="58"/>
  <c r="AJ90" i="58"/>
  <c r="AJ91" i="58"/>
  <c r="AJ92" i="58"/>
  <c r="AJ93" i="58"/>
  <c r="AJ94" i="58"/>
  <c r="AJ95" i="58"/>
  <c r="AJ96" i="58"/>
  <c r="AJ97" i="58"/>
  <c r="AJ98" i="58"/>
  <c r="AJ99" i="58"/>
  <c r="AJ100" i="58"/>
  <c r="AJ101" i="58"/>
  <c r="AJ102" i="58"/>
  <c r="AJ103" i="58"/>
  <c r="AJ104" i="58"/>
  <c r="AJ105" i="58"/>
  <c r="AJ106" i="58"/>
  <c r="AJ107" i="58"/>
  <c r="AK20" i="58"/>
  <c r="U14" i="58"/>
  <c r="U13" i="58"/>
  <c r="W10" i="58"/>
  <c r="U8" i="58" s="1"/>
  <c r="Y11" i="58"/>
  <c r="Y10" i="58"/>
  <c r="AL107" i="58"/>
  <c r="AL106" i="58"/>
  <c r="AL105" i="58"/>
  <c r="AL104" i="58"/>
  <c r="AL103" i="58"/>
  <c r="AL102" i="58"/>
  <c r="AL101" i="58"/>
  <c r="AL100" i="58"/>
  <c r="AL99" i="58"/>
  <c r="AL98" i="58"/>
  <c r="AL97" i="58"/>
  <c r="AL96" i="58"/>
  <c r="AL95" i="58"/>
  <c r="AL94" i="58"/>
  <c r="AL93" i="58"/>
  <c r="AL92" i="58"/>
  <c r="AL91" i="58"/>
  <c r="AL90" i="58"/>
  <c r="AL89" i="58"/>
  <c r="AL88" i="58"/>
  <c r="AL87" i="58"/>
  <c r="AL86" i="58"/>
  <c r="AL85" i="58"/>
  <c r="AL84" i="58"/>
  <c r="AL83" i="58"/>
  <c r="AL82" i="58"/>
  <c r="AL81" i="58"/>
  <c r="AL80" i="58"/>
  <c r="AL79" i="58"/>
  <c r="AL78" i="58"/>
  <c r="AL77" i="58"/>
  <c r="AL76" i="58"/>
  <c r="AL75" i="58"/>
  <c r="AL74" i="58"/>
  <c r="AL73" i="58"/>
  <c r="AL72" i="58"/>
  <c r="AL71" i="58"/>
  <c r="AL70" i="58"/>
  <c r="AL69" i="58"/>
  <c r="AL68" i="58"/>
  <c r="AL67" i="58"/>
  <c r="AL66" i="58"/>
  <c r="AL65" i="58"/>
  <c r="AL64" i="58"/>
  <c r="AL63" i="58"/>
  <c r="AL62" i="58"/>
  <c r="AL61" i="58"/>
  <c r="AL60" i="58"/>
  <c r="AL59" i="58"/>
  <c r="AL58" i="58"/>
  <c r="AL57" i="58"/>
  <c r="AL56" i="58"/>
  <c r="AL55" i="58"/>
  <c r="AL54" i="58"/>
  <c r="AL53" i="58"/>
  <c r="AL52" i="58"/>
  <c r="AL51" i="58"/>
  <c r="AL50" i="58"/>
  <c r="AL49" i="58"/>
  <c r="AL48" i="58"/>
  <c r="AL47" i="58"/>
  <c r="R47" i="58"/>
  <c r="AL46" i="58"/>
  <c r="AL45" i="58"/>
  <c r="AL44" i="58"/>
  <c r="AL43" i="58"/>
  <c r="AL42" i="58"/>
  <c r="AL41" i="58"/>
  <c r="AL40" i="58"/>
  <c r="AL39" i="58"/>
  <c r="AL38" i="58"/>
  <c r="AL37" i="58"/>
  <c r="AL36" i="58"/>
  <c r="AL35" i="58"/>
  <c r="AL34" i="58"/>
  <c r="AL33" i="58"/>
  <c r="AL32" i="58"/>
  <c r="AL31" i="58"/>
  <c r="AL30" i="58"/>
  <c r="AL29" i="58"/>
  <c r="AL28" i="58"/>
  <c r="AL27" i="58"/>
  <c r="AL26" i="58"/>
  <c r="AL25" i="58"/>
  <c r="AL24" i="58"/>
  <c r="AL23" i="58"/>
  <c r="AL22" i="58"/>
  <c r="AL21" i="58"/>
  <c r="AL20" i="58"/>
  <c r="AW11" i="58"/>
  <c r="AV11" i="58"/>
  <c r="AU11" i="58"/>
  <c r="AT11" i="58"/>
  <c r="AS11" i="58"/>
  <c r="Z11" i="58"/>
  <c r="AW10" i="58"/>
  <c r="AV10" i="58"/>
  <c r="AU10" i="58"/>
  <c r="AT10" i="58"/>
  <c r="AS10" i="58"/>
  <c r="Z10" i="58"/>
  <c r="AW9" i="58"/>
  <c r="AV9" i="58"/>
  <c r="AU9" i="58"/>
  <c r="AT9" i="58"/>
  <c r="AS9" i="58"/>
  <c r="AW8" i="58"/>
  <c r="AV8" i="58"/>
  <c r="AU8" i="58"/>
  <c r="AT8" i="58"/>
  <c r="AS8" i="58"/>
  <c r="AW7" i="58"/>
  <c r="AV7" i="58"/>
  <c r="AU7" i="58"/>
  <c r="AT7" i="58"/>
  <c r="AS7" i="58"/>
  <c r="AW6" i="58"/>
  <c r="AV6" i="58"/>
  <c r="AU6" i="58"/>
  <c r="AT6" i="58"/>
  <c r="AS6" i="58"/>
  <c r="AW5" i="58"/>
  <c r="AV5" i="58"/>
  <c r="AU5" i="58"/>
  <c r="AT5" i="58"/>
  <c r="AS5" i="58"/>
  <c r="J15" i="58" l="1"/>
  <c r="J19" i="58" s="1"/>
  <c r="AP107" i="58"/>
  <c r="AP95" i="58"/>
  <c r="AP91" i="58"/>
  <c r="AQ91" i="58" s="1"/>
  <c r="AP83" i="58"/>
  <c r="AP67" i="58"/>
  <c r="AP51" i="58"/>
  <c r="AO51" i="58" s="1"/>
  <c r="AP35" i="58"/>
  <c r="AO35" i="58" s="1"/>
  <c r="AP79" i="58"/>
  <c r="AP27" i="58"/>
  <c r="AO27" i="58" s="1"/>
  <c r="AP103" i="58"/>
  <c r="AP63" i="58"/>
  <c r="AO63" i="58" s="1"/>
  <c r="AP47" i="58"/>
  <c r="AO47" i="58" s="1"/>
  <c r="AP31" i="58"/>
  <c r="AO31" i="58" s="1"/>
  <c r="AP75" i="58"/>
  <c r="AP59" i="58"/>
  <c r="AO59" i="58" s="1"/>
  <c r="AP43" i="58"/>
  <c r="AO43" i="58" s="1"/>
  <c r="AU34" i="58"/>
  <c r="AO66" i="58"/>
  <c r="AU66" i="58"/>
  <c r="AT66" i="58" s="1"/>
  <c r="AU82" i="58"/>
  <c r="AT82" i="58" s="1"/>
  <c r="AU106" i="58"/>
  <c r="AT106" i="58" s="1"/>
  <c r="AU42" i="58"/>
  <c r="AU58" i="58"/>
  <c r="AU74" i="58"/>
  <c r="AT74" i="58" s="1"/>
  <c r="AU98" i="58"/>
  <c r="AT98" i="58" s="1"/>
  <c r="AU38" i="58"/>
  <c r="AU54" i="58"/>
  <c r="AU70" i="58"/>
  <c r="AT70" i="58" s="1"/>
  <c r="AU86" i="58"/>
  <c r="AT86" i="58" s="1"/>
  <c r="AP99" i="58"/>
  <c r="AO99" i="58" s="1"/>
  <c r="AP87" i="58"/>
  <c r="AP71" i="58"/>
  <c r="AP55" i="58"/>
  <c r="AO55" i="58" s="1"/>
  <c r="AP39" i="58"/>
  <c r="AO39" i="58" s="1"/>
  <c r="AP23" i="58"/>
  <c r="AQ23" i="58" s="1"/>
  <c r="AU23" i="58"/>
  <c r="AU30" i="58"/>
  <c r="AU50" i="58"/>
  <c r="AU90" i="58"/>
  <c r="AT90" i="58" s="1"/>
  <c r="AU22" i="58"/>
  <c r="AU25" i="58"/>
  <c r="AU46" i="58"/>
  <c r="AO62" i="58"/>
  <c r="AU62" i="58"/>
  <c r="AT62" i="58" s="1"/>
  <c r="AU78" i="58"/>
  <c r="AT78" i="58" s="1"/>
  <c r="AU94" i="58"/>
  <c r="AT94" i="58" s="1"/>
  <c r="AU102" i="58"/>
  <c r="AT102" i="58" s="1"/>
  <c r="AQ69" i="58"/>
  <c r="AO61" i="58"/>
  <c r="AO73" i="58"/>
  <c r="AO85" i="58"/>
  <c r="AQ93" i="58"/>
  <c r="AO101" i="58"/>
  <c r="AP106" i="58"/>
  <c r="AQ106" i="58" s="1"/>
  <c r="AP102" i="58"/>
  <c r="AO102" i="58" s="1"/>
  <c r="AP98" i="58"/>
  <c r="AQ98" i="58" s="1"/>
  <c r="AP94" i="58"/>
  <c r="AQ94" i="58" s="1"/>
  <c r="AP90" i="58"/>
  <c r="AQ90" i="58" s="1"/>
  <c r="AP86" i="58"/>
  <c r="AQ86" i="58" s="1"/>
  <c r="AP82" i="58"/>
  <c r="AQ82" i="58" s="1"/>
  <c r="AP78" i="58"/>
  <c r="AQ78" i="58" s="1"/>
  <c r="AP74" i="58"/>
  <c r="AQ74" i="58" s="1"/>
  <c r="AP70" i="58"/>
  <c r="AQ70" i="58" s="1"/>
  <c r="AP66" i="58"/>
  <c r="AQ66" i="58" s="1"/>
  <c r="AP62" i="58"/>
  <c r="AQ62" i="58" s="1"/>
  <c r="AP58" i="58"/>
  <c r="AQ58" i="58" s="1"/>
  <c r="AP54" i="58"/>
  <c r="AQ54" i="58" s="1"/>
  <c r="AP50" i="58"/>
  <c r="AO50" i="58" s="1"/>
  <c r="AP46" i="58"/>
  <c r="AO46" i="58" s="1"/>
  <c r="AP42" i="58"/>
  <c r="AQ42" i="58" s="1"/>
  <c r="AP38" i="58"/>
  <c r="AQ38" i="58" s="1"/>
  <c r="AP34" i="58"/>
  <c r="AQ34" i="58" s="1"/>
  <c r="AP30" i="58"/>
  <c r="AQ30" i="58" s="1"/>
  <c r="AP26" i="58"/>
  <c r="AO26" i="58" s="1"/>
  <c r="AP22" i="58"/>
  <c r="AQ22" i="58" s="1"/>
  <c r="AO64" i="58"/>
  <c r="AO72" i="58"/>
  <c r="AO80" i="58"/>
  <c r="AO88" i="58"/>
  <c r="AO96" i="58"/>
  <c r="AO104" i="58"/>
  <c r="AQ67" i="58"/>
  <c r="AO67" i="58"/>
  <c r="AO71" i="58"/>
  <c r="AQ71" i="58"/>
  <c r="AO75" i="58"/>
  <c r="AQ75" i="58"/>
  <c r="AQ79" i="58"/>
  <c r="AO79" i="58"/>
  <c r="AO83" i="58"/>
  <c r="AQ83" i="58"/>
  <c r="AO87" i="58"/>
  <c r="AQ87" i="58"/>
  <c r="AO91" i="58"/>
  <c r="AO95" i="58"/>
  <c r="AQ95" i="58"/>
  <c r="AQ99" i="58"/>
  <c r="AO103" i="58"/>
  <c r="AQ103" i="58"/>
  <c r="AQ107" i="58"/>
  <c r="AO107" i="58"/>
  <c r="AP104" i="58"/>
  <c r="AQ104" i="58" s="1"/>
  <c r="AP100" i="58"/>
  <c r="AQ100" i="58" s="1"/>
  <c r="AP96" i="58"/>
  <c r="AQ96" i="58" s="1"/>
  <c r="AP92" i="58"/>
  <c r="AQ92" i="58" s="1"/>
  <c r="AP88" i="58"/>
  <c r="AQ88" i="58" s="1"/>
  <c r="AP84" i="58"/>
  <c r="AQ84" i="58" s="1"/>
  <c r="AP80" i="58"/>
  <c r="AQ80" i="58" s="1"/>
  <c r="AP76" i="58"/>
  <c r="AQ76" i="58" s="1"/>
  <c r="AP72" i="58"/>
  <c r="AQ72" i="58" s="1"/>
  <c r="AP68" i="58"/>
  <c r="AQ68" i="58" s="1"/>
  <c r="AP64" i="58"/>
  <c r="AQ64" i="58" s="1"/>
  <c r="AP60" i="58"/>
  <c r="AQ60" i="58" s="1"/>
  <c r="AP56" i="58"/>
  <c r="AO56" i="58" s="1"/>
  <c r="AP52" i="58"/>
  <c r="AO52" i="58" s="1"/>
  <c r="AP48" i="58"/>
  <c r="AQ48" i="58" s="1"/>
  <c r="AP44" i="58"/>
  <c r="AO44" i="58" s="1"/>
  <c r="AP40" i="58"/>
  <c r="AQ40" i="58" s="1"/>
  <c r="AP36" i="58"/>
  <c r="AO36" i="58" s="1"/>
  <c r="AP32" i="58"/>
  <c r="AQ32" i="58" s="1"/>
  <c r="AP28" i="58"/>
  <c r="AQ28" i="58" s="1"/>
  <c r="AP24" i="58"/>
  <c r="AQ24" i="58" s="1"/>
  <c r="AP105" i="58"/>
  <c r="AO105" i="58" s="1"/>
  <c r="AP101" i="58"/>
  <c r="AQ101" i="58" s="1"/>
  <c r="AP97" i="58"/>
  <c r="AQ97" i="58" s="1"/>
  <c r="AP93" i="58"/>
  <c r="AO93" i="58" s="1"/>
  <c r="AP89" i="58"/>
  <c r="AO89" i="58" s="1"/>
  <c r="AP85" i="58"/>
  <c r="AQ85" i="58" s="1"/>
  <c r="AP81" i="58"/>
  <c r="AO81" i="58" s="1"/>
  <c r="AP77" i="58"/>
  <c r="AO77" i="58" s="1"/>
  <c r="AP73" i="58"/>
  <c r="AQ73" i="58" s="1"/>
  <c r="AP69" i="58"/>
  <c r="AO69" i="58" s="1"/>
  <c r="AP65" i="58"/>
  <c r="AO65" i="58" s="1"/>
  <c r="AP61" i="58"/>
  <c r="AQ61" i="58" s="1"/>
  <c r="AP57" i="58"/>
  <c r="AQ57" i="58" s="1"/>
  <c r="AP53" i="58"/>
  <c r="AO53" i="58" s="1"/>
  <c r="AP49" i="58"/>
  <c r="AO49" i="58" s="1"/>
  <c r="AP45" i="58"/>
  <c r="AO45" i="58" s="1"/>
  <c r="AP41" i="58"/>
  <c r="AO41" i="58" s="1"/>
  <c r="AP37" i="58"/>
  <c r="AO37" i="58" s="1"/>
  <c r="AP33" i="58"/>
  <c r="AQ33" i="58" s="1"/>
  <c r="AP29" i="58"/>
  <c r="AQ29" i="58" s="1"/>
  <c r="AP25" i="58"/>
  <c r="AQ25" i="58" s="1"/>
  <c r="AP21" i="58"/>
  <c r="AO21" i="58" s="1"/>
  <c r="AO78" i="58" l="1"/>
  <c r="AO70" i="58"/>
  <c r="AO74" i="58"/>
  <c r="AO82" i="58"/>
  <c r="AQ102" i="58"/>
  <c r="AQ63" i="58"/>
  <c r="AO100" i="58"/>
  <c r="AO92" i="58"/>
  <c r="AO84" i="58"/>
  <c r="AO76" i="58"/>
  <c r="AO68" i="58"/>
  <c r="AO60" i="58"/>
  <c r="AQ105" i="58"/>
  <c r="AO97" i="58"/>
  <c r="AQ89" i="58"/>
  <c r="AQ81" i="58"/>
  <c r="AQ65" i="58"/>
  <c r="AQ77" i="58"/>
  <c r="AO94" i="58"/>
  <c r="AO90" i="58"/>
  <c r="AO86" i="58"/>
  <c r="AO98" i="58"/>
  <c r="AO106" i="58"/>
  <c r="AQ27" i="58"/>
  <c r="AQ55" i="58"/>
  <c r="AQ31" i="58"/>
  <c r="AQ47" i="58"/>
  <c r="AQ59" i="58"/>
  <c r="AO58" i="58"/>
  <c r="AO23" i="58"/>
  <c r="AO57" i="58"/>
  <c r="AQ56" i="58"/>
  <c r="AO24" i="58"/>
  <c r="AO22" i="58"/>
  <c r="AQ21" i="58"/>
  <c r="AO25" i="58"/>
  <c r="AO54" i="58"/>
  <c r="AQ43" i="58"/>
  <c r="AQ51" i="58"/>
  <c r="AQ52" i="58"/>
  <c r="AO28" i="58"/>
  <c r="AQ26" i="58"/>
  <c r="AO29" i="58"/>
  <c r="AQ53" i="58"/>
  <c r="AO32" i="58"/>
  <c r="AO33" i="58"/>
  <c r="AQ50" i="58"/>
  <c r="AO48" i="58"/>
  <c r="AQ49" i="58"/>
  <c r="AO30" i="58"/>
  <c r="AQ46" i="58"/>
  <c r="AQ39" i="58"/>
  <c r="AQ37" i="58"/>
  <c r="J13" i="58"/>
  <c r="AT25" i="58" s="1"/>
  <c r="AQ35" i="58"/>
  <c r="AQ44" i="58"/>
  <c r="AO40" i="58"/>
  <c r="AQ41" i="58"/>
  <c r="AQ45" i="58"/>
  <c r="AO38" i="58"/>
  <c r="AO42" i="58"/>
  <c r="AO34" i="58"/>
  <c r="AQ36" i="58"/>
  <c r="J12" i="58"/>
  <c r="AT38" i="58" l="1"/>
  <c r="AT50" i="58"/>
  <c r="AT54" i="58"/>
  <c r="AT22" i="58"/>
  <c r="AT23" i="58"/>
  <c r="AT34" i="58"/>
  <c r="AT46" i="58"/>
  <c r="AT30" i="58"/>
  <c r="J11" i="58"/>
  <c r="J16" i="58" s="1"/>
  <c r="U27" i="58"/>
  <c r="W11" i="58"/>
  <c r="AT52" i="58"/>
  <c r="AT56" i="58"/>
  <c r="AT57" i="58"/>
  <c r="AA10" i="58"/>
  <c r="AT55" i="58"/>
  <c r="AT31" i="58"/>
  <c r="AT39" i="58"/>
  <c r="AA11" i="58"/>
  <c r="AT24" i="58"/>
  <c r="AT32" i="58"/>
  <c r="AT33" i="58"/>
  <c r="AT27" i="58"/>
  <c r="AT21" i="58"/>
  <c r="AT44" i="58"/>
  <c r="AT45" i="58"/>
  <c r="AT49" i="58"/>
  <c r="AT51" i="58"/>
  <c r="AT48" i="58"/>
  <c r="AT29" i="58"/>
  <c r="AT35" i="58"/>
  <c r="AT43" i="58"/>
  <c r="AT40" i="58"/>
  <c r="AT41" i="58"/>
  <c r="AT37" i="58"/>
  <c r="AT47" i="58"/>
  <c r="AT36" i="58"/>
  <c r="AT53" i="58"/>
  <c r="AT28" i="58"/>
  <c r="AT26" i="58"/>
  <c r="AT58" i="58"/>
  <c r="AT42" i="58"/>
  <c r="V32" i="58"/>
  <c r="V34" i="58" s="1"/>
  <c r="V36" i="58" s="1"/>
  <c r="U32" i="58" l="1"/>
  <c r="U34" i="58" s="1"/>
  <c r="U36" i="58" s="1"/>
  <c r="U23" i="58"/>
  <c r="U26" i="58" s="1"/>
  <c r="W21" i="58" s="1"/>
  <c r="X32" i="58" s="1"/>
  <c r="J14" i="58"/>
  <c r="J18" i="58" s="1"/>
  <c r="W14" i="58"/>
  <c r="W13" i="58"/>
  <c r="W32" i="58"/>
  <c r="W34" i="58" s="1"/>
  <c r="W36" i="58" s="1"/>
  <c r="J17" i="58"/>
  <c r="X34" i="58" l="1"/>
  <c r="X36" i="58" s="1"/>
</calcChain>
</file>

<file path=xl/comments1.xml><?xml version="1.0" encoding="utf-8"?>
<comments xmlns="http://schemas.openxmlformats.org/spreadsheetml/2006/main">
  <authors>
    <author>Dan Mecklenburg</author>
    <author>Sky Jones</author>
  </authors>
  <commentList>
    <comment ref="J11" authorId="0" shapeId="0">
      <text>
        <r>
          <rPr>
            <sz val="10"/>
            <color indexed="81"/>
            <rFont val="Tahoma"/>
            <family val="2"/>
          </rPr>
          <t xml:space="preserve">
This is the area of the stream channel cross-section, at bankfull stage.  
It is the "Bankfull Cross Section Area" (A</t>
        </r>
        <r>
          <rPr>
            <vertAlign val="subscript"/>
            <sz val="10"/>
            <color indexed="81"/>
            <rFont val="Tahoma"/>
            <family val="2"/>
          </rPr>
          <t>bf</t>
        </r>
        <r>
          <rPr>
            <sz val="10"/>
            <color indexed="81"/>
            <rFont val="Tahoma"/>
            <family val="2"/>
          </rPr>
          <t xml:space="preserve">) only if in a riffle section.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In this spreadsheet the entire cross section lower than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2" authorId="0" shapeId="0">
      <text>
        <r>
          <rPr>
            <sz val="10"/>
            <color indexed="81"/>
            <rFont val="Tahoma"/>
            <family val="2"/>
          </rPr>
          <t xml:space="preserve">. 
This is the width of the stream channel at bankfull stage.  
It is the "Bankfull Width" (Wbf) only if in a riffle section.  
</t>
        </r>
        <r>
          <rPr>
            <sz val="10"/>
            <color indexed="10"/>
            <rFont val="Tahoma"/>
            <family val="2"/>
          </rPr>
          <t>Please Note:</t>
        </r>
        <r>
          <rPr>
            <sz val="10"/>
            <color indexed="81"/>
            <rFont val="Tahoma"/>
            <family val="2"/>
          </rPr>
          <t xml:space="preserve"> Everything below the bankfull stage is used to calculate bankfull area, bankfull width, and wetted perimeter.  If a cross section includes low areas that are not part of the channel use the "Omit Bkf" column below to exclude these areas.</t>
        </r>
      </text>
    </comment>
    <comment ref="J13" authorId="0" shapeId="0">
      <text>
        <r>
          <rPr>
            <sz val="10"/>
            <color indexed="81"/>
            <rFont val="Tahoma"/>
            <family val="2"/>
          </rPr>
          <t xml:space="preserve">
Bkf+max depth</t>
        </r>
      </text>
    </comment>
    <comment ref="J14" authorId="1" shapeId="0">
      <text>
        <r>
          <rPr>
            <sz val="9"/>
            <color indexed="81"/>
            <rFont val="Tahoma"/>
            <family val="2"/>
          </rPr>
          <t xml:space="preserve">The width of the flood prone area (flood prone width) is the flooded width at a stage twice max depth as measured in a riffle or straight section.
The flood prone width is used to describe channel entrenchment.  A dimensionless number used to quantify entrenchment is:
entrenchment ratio = flood prone width  / bankfull width.
</t>
        </r>
      </text>
    </comment>
    <comment ref="J15" authorId="0" shapeId="0">
      <text>
        <r>
          <rPr>
            <sz val="10"/>
            <color indexed="81"/>
            <rFont val="Tahoma"/>
            <family val="2"/>
          </rPr>
          <t xml:space="preserve">
This is the maximum depth of flow  at bankfull stage.  
</t>
        </r>
      </text>
    </comment>
    <comment ref="J16" authorId="0" shapeId="0">
      <text>
        <r>
          <rPr>
            <sz val="10"/>
            <color indexed="81"/>
            <rFont val="Tahoma"/>
            <family val="2"/>
          </rPr>
          <t xml:space="preserve">
Mean Depth (ft) = A / W
A = cross section area (sq.ft.) or (sq.m.)
W = width at bankfull stage (ft) or (m)
This is the area of the stream channel cross-section, at bankfull stage.  
This is the "Bankfull Cross Section Area" (Abf) only if in a riffle section.  </t>
        </r>
      </text>
    </comment>
    <comment ref="J17" authorId="0" shapeId="0">
      <text>
        <r>
          <rPr>
            <sz val="10"/>
            <color indexed="81"/>
            <rFont val="Tahoma"/>
            <family val="2"/>
          </rPr>
          <t xml:space="preserve">
The width-to-depth ratio is the channel width at bankfull stage divided by the MEAN depth.
"The width-to-depth ratio" used for classification is only from a riffle or straight section.  
</t>
        </r>
      </text>
    </comment>
    <comment ref="J18" authorId="0" shapeId="0">
      <text>
        <r>
          <rPr>
            <sz val="10"/>
            <color indexed="81"/>
            <rFont val="Tahoma"/>
            <family val="2"/>
          </rPr>
          <t xml:space="preserve">
The entrenchment ratio is the flood prone width divided by the bankfull width.
The flood prone width is the flooded width at a stage twice max depth (in a riffle section).</t>
        </r>
      </text>
    </comment>
    <comment ref="J19" authorId="0" shapeId="0">
      <text>
        <r>
          <rPr>
            <sz val="10"/>
            <color indexed="81"/>
            <rFont val="Tahoma"/>
            <family val="2"/>
          </rPr>
          <t>Low Bank : Bankfull</t>
        </r>
      </text>
    </comment>
    <comment ref="AL19" authorId="1" shapeId="0">
      <text>
        <r>
          <rPr>
            <b/>
            <sz val="9"/>
            <color indexed="81"/>
            <rFont val="Tahoma"/>
            <family val="2"/>
          </rPr>
          <t>Set to true to eliminate the corresponding area subcalculation from the total calculation (i.e., when there are areas in the floodplain below the bankfull but not in the channel)</t>
        </r>
      </text>
    </comment>
    <comment ref="T23" authorId="1" shapeId="0">
      <text>
        <r>
          <rPr>
            <b/>
            <sz val="9"/>
            <color indexed="81"/>
            <rFont val="Tahoma"/>
            <family val="2"/>
          </rPr>
          <t>cross sectional area</t>
        </r>
      </text>
    </comment>
    <comment ref="T24" authorId="1" shapeId="0">
      <text>
        <r>
          <rPr>
            <b/>
            <sz val="9"/>
            <color indexed="81"/>
            <rFont val="Tahoma"/>
            <family val="2"/>
          </rPr>
          <t>Bottom Slope</t>
        </r>
      </text>
    </comment>
    <comment ref="T25" authorId="1" shapeId="0">
      <text>
        <r>
          <rPr>
            <b/>
            <sz val="9"/>
            <color indexed="81"/>
            <rFont val="Tahoma"/>
            <family val="2"/>
          </rPr>
          <t>Manning's Constant</t>
        </r>
      </text>
    </comment>
    <comment ref="T26" authorId="1" shapeId="0">
      <text>
        <r>
          <rPr>
            <b/>
            <sz val="9"/>
            <color indexed="81"/>
            <rFont val="Tahoma"/>
            <family val="2"/>
          </rPr>
          <t>Hydraulic Radius</t>
        </r>
      </text>
    </comment>
    <comment ref="T27" authorId="1" shapeId="0">
      <text>
        <r>
          <rPr>
            <b/>
            <sz val="9"/>
            <color indexed="81"/>
            <rFont val="Tahoma"/>
            <family val="2"/>
          </rPr>
          <t>Wetted Perimeter</t>
        </r>
      </text>
    </comment>
    <comment ref="T43" authorId="1" shapeId="0">
      <text>
        <r>
          <rPr>
            <b/>
            <sz val="9"/>
            <color indexed="81"/>
            <rFont val="Tahoma"/>
            <family val="2"/>
          </rPr>
          <t>Max allowable error</t>
        </r>
      </text>
    </comment>
    <comment ref="W43" authorId="1" shapeId="0">
      <text>
        <r>
          <rPr>
            <b/>
            <sz val="9"/>
            <color indexed="81"/>
            <rFont val="Tahoma"/>
            <family val="2"/>
          </rPr>
          <t>Max allowable error</t>
        </r>
      </text>
    </comment>
    <comment ref="T44" authorId="1" shapeId="0">
      <text>
        <r>
          <rPr>
            <b/>
            <sz val="9"/>
            <color indexed="81"/>
            <rFont val="Tahoma"/>
            <family val="2"/>
          </rPr>
          <t>Number of times algorithm will cycle through before giving up</t>
        </r>
      </text>
    </comment>
    <comment ref="W44" authorId="1" shapeId="0">
      <text>
        <r>
          <rPr>
            <b/>
            <sz val="9"/>
            <color indexed="81"/>
            <rFont val="Tahoma"/>
            <family val="2"/>
          </rPr>
          <t>Number of times algorithm will cycle through before giving up</t>
        </r>
      </text>
    </comment>
    <comment ref="T45" authorId="1" shapeId="0">
      <text>
        <r>
          <rPr>
            <b/>
            <sz val="9"/>
            <color indexed="81"/>
            <rFont val="Tahoma"/>
            <family val="2"/>
          </rPr>
          <t>Macro will output number of iterations actually used (if &gt; max iterations, no convergence)</t>
        </r>
      </text>
    </comment>
    <comment ref="W45" authorId="1" shapeId="0">
      <text>
        <r>
          <rPr>
            <b/>
            <sz val="9"/>
            <color indexed="81"/>
            <rFont val="Tahoma"/>
            <family val="2"/>
          </rPr>
          <t>Macro will output number of iterations actually used (if &gt; max iterations, no convergence)</t>
        </r>
      </text>
    </comment>
  </commentList>
</comments>
</file>

<file path=xl/sharedStrings.xml><?xml version="1.0" encoding="utf-8"?>
<sst xmlns="http://schemas.openxmlformats.org/spreadsheetml/2006/main" count="136" uniqueCount="95">
  <si>
    <t>Control Elevation</t>
  </si>
  <si>
    <t>Elevation</t>
  </si>
  <si>
    <t>Control Measurement</t>
  </si>
  <si>
    <t>XS ID</t>
  </si>
  <si>
    <t>Station</t>
  </si>
  <si>
    <t>Field Crew:</t>
  </si>
  <si>
    <t>Date:</t>
  </si>
  <si>
    <t>River Basin:</t>
  </si>
  <si>
    <t>Drainage Area (sq mi):</t>
  </si>
  <si>
    <t>Bankfull Elevation:</t>
  </si>
  <si>
    <t>Flood Prone Area Elevation:</t>
  </si>
  <si>
    <t>sta</t>
  </si>
  <si>
    <t>bkf</t>
  </si>
  <si>
    <t>fpa</t>
  </si>
  <si>
    <t>Data for automatic BKF &amp; FPA elevations</t>
  </si>
  <si>
    <t>DO NOT CHANGE OR DELETE</t>
  </si>
  <si>
    <t>W / D Ratio:</t>
  </si>
  <si>
    <t>Flood Prone Width:</t>
  </si>
  <si>
    <t>Max Depth at Bankfull:</t>
  </si>
  <si>
    <t>Mean Depth at Bankfull:</t>
  </si>
  <si>
    <t>Entrenchment Ratio:</t>
  </si>
  <si>
    <t>Bank Height Ratio:</t>
  </si>
  <si>
    <t>Bankfull Width:</t>
  </si>
  <si>
    <t>SUMMARY DATA</t>
  </si>
  <si>
    <t>Bankfull Cross-Sectional Area:</t>
  </si>
  <si>
    <t>XS1</t>
  </si>
  <si>
    <t>XS2</t>
  </si>
  <si>
    <t>XS4</t>
  </si>
  <si>
    <t>XS6</t>
  </si>
  <si>
    <t>Min</t>
  </si>
  <si>
    <t>Mean</t>
  </si>
  <si>
    <t>Med</t>
  </si>
  <si>
    <t xml:space="preserve">Max </t>
  </si>
  <si>
    <t>StDEV</t>
  </si>
  <si>
    <t>Site:</t>
  </si>
  <si>
    <t>Bkf</t>
  </si>
  <si>
    <t>Ele</t>
  </si>
  <si>
    <t>Omit</t>
  </si>
  <si>
    <t>area</t>
  </si>
  <si>
    <t>width</t>
  </si>
  <si>
    <t>floodplain width</t>
  </si>
  <si>
    <t>Min Station</t>
  </si>
  <si>
    <t>Max Station</t>
  </si>
  <si>
    <t>Min Ele</t>
  </si>
  <si>
    <t>Max Ele</t>
  </si>
  <si>
    <t>Chart Title</t>
  </si>
  <si>
    <t>Max Scale E</t>
  </si>
  <si>
    <t>Min Scale E</t>
  </si>
  <si>
    <t>A</t>
  </si>
  <si>
    <t>B</t>
  </si>
  <si>
    <t>D</t>
  </si>
  <si>
    <t>C</t>
  </si>
  <si>
    <t>E</t>
  </si>
  <si>
    <t>F</t>
  </si>
  <si>
    <t>G</t>
  </si>
  <si>
    <t>H</t>
  </si>
  <si>
    <t>XS3</t>
  </si>
  <si>
    <t>XS5</t>
  </si>
  <si>
    <t>XS7</t>
  </si>
  <si>
    <t>XS8</t>
  </si>
  <si>
    <t>XS9</t>
  </si>
  <si>
    <t>XS10</t>
  </si>
  <si>
    <t>Data here is used to calculate stream stats</t>
  </si>
  <si>
    <t>Shot Number</t>
  </si>
  <si>
    <t>Low Bank:</t>
  </si>
  <si>
    <t>Max Survey Width</t>
  </si>
  <si>
    <t>in survey?</t>
  </si>
  <si>
    <t>Manning's Equation</t>
  </si>
  <si>
    <t>Q (cu ft/s)</t>
  </si>
  <si>
    <t>A (ft)</t>
  </si>
  <si>
    <t>S</t>
  </si>
  <si>
    <t>n</t>
  </si>
  <si>
    <t>R (ft)</t>
  </si>
  <si>
    <t>P (ft)</t>
  </si>
  <si>
    <t>A (sq ft)</t>
  </si>
  <si>
    <t>W( ft)</t>
  </si>
  <si>
    <t>D (ft)</t>
  </si>
  <si>
    <t>Current</t>
  </si>
  <si>
    <t>Target</t>
  </si>
  <si>
    <t>perimeter</t>
  </si>
  <si>
    <t>% of Target</t>
  </si>
  <si>
    <t>Low Bank Height</t>
  </si>
  <si>
    <t>WS</t>
  </si>
  <si>
    <t>Bkf to WS</t>
  </si>
  <si>
    <t>WS to THW</t>
  </si>
  <si>
    <t>Target Bankfull Area</t>
  </si>
  <si>
    <t>Epsilon</t>
  </si>
  <si>
    <t>Max Iterations</t>
  </si>
  <si>
    <t>Iterations to Convergence</t>
  </si>
  <si>
    <t>Target Bankfull Q</t>
  </si>
  <si>
    <t>Step Size</t>
  </si>
  <si>
    <t>Relative Weight</t>
  </si>
  <si>
    <t>Weighted Error</t>
  </si>
  <si>
    <t>Obj Fxn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</si>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</sst>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"/>
    <numFmt numFmtId="166" formatCode="mm/dd/yyyy\ hh:mm:ss"/>
    <numFmt numFmtId="167" formatCode="0.0000"/>
    <numFmt numFmtId="168" formatCode="0.0%"/>
  </numFmts>
  <fonts count="38" x14ac:knownFonts="1">
    <font>
      <sz val="10"/>
      <name val="Arial"/>
    </font>
    <font>
      <b/>
      <sz val="10"/>
      <name val="Times New Roman"/>
      <family val="1"/>
    </font>
    <font>
      <sz val="10"/>
      <name val="Times New Roman"/>
      <family val="1"/>
    </font>
    <font>
      <sz val="10"/>
      <name val="Arial"/>
      <family val="2"/>
    </font>
    <font>
      <b/>
      <sz val="9"/>
      <name val="Times New Roman"/>
      <family val="1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indexed="81"/>
      <name val="Tahoma"/>
      <family val="2"/>
    </font>
    <font>
      <vertAlign val="subscript"/>
      <sz val="10"/>
      <color indexed="81"/>
      <name val="Tahoma"/>
      <family val="2"/>
    </font>
    <font>
      <sz val="10"/>
      <color indexed="10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7"/>
      <color rgb="FF333333"/>
      <name val="Verdana"/>
      <family val="2"/>
    </font>
    <font>
      <b/>
      <sz val="9"/>
      <color indexed="81"/>
      <name val="Tahoma"/>
      <family val="2"/>
    </font>
    <font>
      <sz val="10"/>
      <color rgb="FFFF0000"/>
      <name val="Times New Roman"/>
      <family val="1"/>
    </font>
    <font>
      <sz val="10"/>
      <color theme="4" tint="-0.249977111117893"/>
      <name val="Times New Roman"/>
      <family val="1"/>
    </font>
    <font>
      <sz val="10"/>
      <color rgb="FFFFC000"/>
      <name val="Times New Roman"/>
      <family val="1"/>
    </font>
    <font>
      <b/>
      <sz val="10"/>
      <color rgb="FFFFC000"/>
      <name val="Arial"/>
      <family val="2"/>
    </font>
    <font>
      <sz val="10"/>
      <name val="Arial"/>
      <family val="2"/>
    </font>
    <font>
      <b/>
      <sz val="10"/>
      <color rgb="FFFFC000"/>
      <name val="Times New Roman"/>
      <family val="1"/>
    </font>
    <font>
      <sz val="10"/>
      <color rgb="FF0070C0"/>
      <name val="Times New Roman"/>
      <family val="1"/>
    </font>
  </fonts>
  <fills count="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69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23" applyNumberFormat="0" applyAlignment="0" applyProtection="0"/>
    <xf numFmtId="0" fontId="10" fillId="29" borderId="24" applyNumberFormat="0" applyAlignment="0" applyProtection="0"/>
    <xf numFmtId="0" fontId="11" fillId="0" borderId="0" applyNumberFormat="0" applyFill="0" applyBorder="0" applyAlignment="0" applyProtection="0"/>
    <xf numFmtId="0" fontId="12" fillId="30" borderId="0" applyNumberFormat="0" applyBorder="0" applyAlignment="0" applyProtection="0"/>
    <xf numFmtId="0" fontId="13" fillId="0" borderId="25" applyNumberFormat="0" applyFill="0" applyAlignment="0" applyProtection="0"/>
    <xf numFmtId="0" fontId="14" fillId="0" borderId="26" applyNumberFormat="0" applyFill="0" applyAlignment="0" applyProtection="0"/>
    <xf numFmtId="0" fontId="15" fillId="0" borderId="27" applyNumberFormat="0" applyFill="0" applyAlignment="0" applyProtection="0"/>
    <xf numFmtId="0" fontId="15" fillId="0" borderId="0" applyNumberFormat="0" applyFill="0" applyBorder="0" applyAlignment="0" applyProtection="0"/>
    <xf numFmtId="0" fontId="16" fillId="31" borderId="23" applyNumberFormat="0" applyAlignment="0" applyProtection="0"/>
    <xf numFmtId="0" fontId="17" fillId="0" borderId="28" applyNumberFormat="0" applyFill="0" applyAlignment="0" applyProtection="0"/>
    <xf numFmtId="0" fontId="18" fillId="32" borderId="0" applyNumberFormat="0" applyBorder="0" applyAlignment="0" applyProtection="0"/>
    <xf numFmtId="0" fontId="6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" fillId="33" borderId="29" applyNumberFormat="0" applyFont="0" applyAlignment="0" applyProtection="0"/>
    <xf numFmtId="0" fontId="6" fillId="33" borderId="29" applyNumberFormat="0" applyFont="0" applyAlignment="0" applyProtection="0"/>
    <xf numFmtId="0" fontId="19" fillId="28" borderId="30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31" applyNumberFormat="0" applyFill="0" applyAlignment="0" applyProtection="0"/>
    <xf numFmtId="0" fontId="22" fillId="0" borderId="0" applyNumberFormat="0" applyFill="0" applyBorder="0" applyAlignment="0" applyProtection="0"/>
    <xf numFmtId="0" fontId="23" fillId="35" borderId="0">
      <alignment wrapText="1"/>
    </xf>
    <xf numFmtId="0" fontId="23" fillId="0" borderId="0">
      <alignment wrapText="1"/>
    </xf>
    <xf numFmtId="0" fontId="23" fillId="0" borderId="0">
      <alignment wrapText="1"/>
    </xf>
    <xf numFmtId="0" fontId="23" fillId="0" borderId="0">
      <alignment wrapText="1"/>
    </xf>
    <xf numFmtId="166" fontId="23" fillId="0" borderId="0">
      <alignment wrapText="1"/>
    </xf>
    <xf numFmtId="9" fontId="35" fillId="0" borderId="0" applyFont="0" applyFill="0" applyBorder="0" applyAlignment="0" applyProtection="0"/>
  </cellStyleXfs>
  <cellXfs count="113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2" fillId="0" borderId="0" xfId="0" applyFont="1" applyBorder="1" applyAlignment="1"/>
    <xf numFmtId="2" fontId="2" fillId="0" borderId="0" xfId="0" applyNumberFormat="1" applyFont="1" applyBorder="1" applyAlignment="1">
      <alignment horizontal="center"/>
    </xf>
    <xf numFmtId="0" fontId="2" fillId="2" borderId="2" xfId="0" applyFont="1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4" fontId="2" fillId="2" borderId="7" xfId="0" applyNumberFormat="1" applyFont="1" applyFill="1" applyBorder="1"/>
    <xf numFmtId="2" fontId="2" fillId="2" borderId="0" xfId="0" applyNumberFormat="1" applyFont="1" applyFill="1" applyBorder="1"/>
    <xf numFmtId="2" fontId="2" fillId="2" borderId="3" xfId="0" applyNumberFormat="1" applyFont="1" applyFill="1" applyBorder="1"/>
    <xf numFmtId="2" fontId="2" fillId="2" borderId="9" xfId="0" applyNumberFormat="1" applyFont="1" applyFill="1" applyBorder="1"/>
    <xf numFmtId="2" fontId="2" fillId="2" borderId="4" xfId="0" applyNumberFormat="1" applyFont="1" applyFill="1" applyBorder="1"/>
    <xf numFmtId="0" fontId="2" fillId="2" borderId="7" xfId="0" applyFont="1" applyFill="1" applyBorder="1"/>
    <xf numFmtId="0" fontId="2" fillId="2" borderId="0" xfId="0" applyFont="1" applyFill="1" applyBorder="1"/>
    <xf numFmtId="164" fontId="2" fillId="0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164" fontId="2" fillId="0" borderId="1" xfId="0" applyNumberFormat="1" applyFont="1" applyBorder="1" applyAlignment="1">
      <alignment horizontal="center"/>
    </xf>
    <xf numFmtId="164" fontId="1" fillId="0" borderId="0" xfId="0" applyNumberFormat="1" applyFont="1" applyFill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5" fontId="2" fillId="0" borderId="0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0" xfId="0" applyFont="1" applyBorder="1"/>
    <xf numFmtId="0" fontId="2" fillId="0" borderId="3" xfId="0" applyFont="1" applyBorder="1"/>
    <xf numFmtId="0" fontId="2" fillId="0" borderId="8" xfId="0" applyFont="1" applyBorder="1"/>
    <xf numFmtId="2" fontId="2" fillId="0" borderId="9" xfId="0" applyNumberFormat="1" applyFont="1" applyBorder="1" applyAlignment="1">
      <alignment horizontal="center"/>
    </xf>
    <xf numFmtId="0" fontId="2" fillId="0" borderId="9" xfId="0" applyFont="1" applyBorder="1"/>
    <xf numFmtId="0" fontId="2" fillId="0" borderId="4" xfId="0" applyFont="1" applyBorder="1"/>
    <xf numFmtId="2" fontId="2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2" xfId="0" applyFont="1" applyBorder="1"/>
    <xf numFmtId="0" fontId="2" fillId="2" borderId="8" xfId="0" applyFont="1" applyFill="1" applyBorder="1"/>
    <xf numFmtId="0" fontId="2" fillId="2" borderId="9" xfId="0" applyFont="1" applyFill="1" applyBorder="1"/>
    <xf numFmtId="1" fontId="2" fillId="0" borderId="1" xfId="0" applyNumberFormat="1" applyFont="1" applyFill="1" applyBorder="1" applyAlignment="1">
      <alignment horizontal="center"/>
    </xf>
    <xf numFmtId="164" fontId="3" fillId="34" borderId="6" xfId="0" applyNumberFormat="1" applyFont="1" applyFill="1" applyBorder="1" applyAlignment="1">
      <alignment horizontal="center"/>
    </xf>
    <xf numFmtId="2" fontId="3" fillId="34" borderId="6" xfId="0" applyNumberFormat="1" applyFont="1" applyFill="1" applyBorder="1" applyAlignment="1">
      <alignment horizontal="center"/>
    </xf>
    <xf numFmtId="164" fontId="2" fillId="0" borderId="10" xfId="0" applyNumberFormat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164" fontId="1" fillId="0" borderId="17" xfId="0" applyNumberFormat="1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5" fontId="1" fillId="0" borderId="19" xfId="0" applyNumberFormat="1" applyFont="1" applyBorder="1" applyAlignment="1">
      <alignment horizontal="center"/>
    </xf>
    <xf numFmtId="164" fontId="1" fillId="0" borderId="20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Border="1" applyAlignment="1">
      <alignment horizontal="center" vertical="center"/>
    </xf>
    <xf numFmtId="2" fontId="3" fillId="36" borderId="0" xfId="0" applyNumberFormat="1" applyFont="1" applyFill="1" applyBorder="1" applyAlignment="1" applyProtection="1">
      <alignment horizontal="center"/>
      <protection hidden="1"/>
    </xf>
    <xf numFmtId="164" fontId="3" fillId="36" borderId="0" xfId="0" applyNumberFormat="1" applyFont="1" applyFill="1" applyBorder="1" applyAlignment="1" applyProtection="1">
      <alignment horizontal="center"/>
      <protection hidden="1"/>
    </xf>
    <xf numFmtId="164" fontId="2" fillId="0" borderId="0" xfId="0" applyNumberFormat="1" applyFont="1"/>
    <xf numFmtId="0" fontId="29" fillId="0" borderId="0" xfId="0" applyFont="1"/>
    <xf numFmtId="0" fontId="23" fillId="0" borderId="1" xfId="65" applyBorder="1">
      <alignment wrapText="1"/>
    </xf>
    <xf numFmtId="0" fontId="2" fillId="0" borderId="1" xfId="0" applyFont="1" applyBorder="1" applyAlignment="1">
      <alignment horizontal="center"/>
    </xf>
    <xf numFmtId="0" fontId="1" fillId="0" borderId="0" xfId="0" applyFont="1" applyFill="1" applyBorder="1" applyAlignment="1"/>
    <xf numFmtId="0" fontId="31" fillId="0" borderId="0" xfId="0" applyFont="1"/>
    <xf numFmtId="164" fontId="2" fillId="2" borderId="8" xfId="0" applyNumberFormat="1" applyFont="1" applyFill="1" applyBorder="1"/>
    <xf numFmtId="2" fontId="2" fillId="0" borderId="0" xfId="0" applyNumberFormat="1" applyFont="1" applyAlignment="1">
      <alignment horizontal="center" vertical="center"/>
    </xf>
    <xf numFmtId="2" fontId="2" fillId="0" borderId="0" xfId="65" applyNumberFormat="1" applyFont="1" applyAlignment="1">
      <alignment horizontal="center" vertical="center" wrapText="1"/>
    </xf>
    <xf numFmtId="0" fontId="1" fillId="0" borderId="1" xfId="0" applyFont="1" applyBorder="1"/>
    <xf numFmtId="167" fontId="23" fillId="0" borderId="0" xfId="65" applyNumberFormat="1" applyAlignment="1"/>
    <xf numFmtId="167" fontId="2" fillId="0" borderId="0" xfId="0" applyNumberFormat="1" applyFont="1"/>
    <xf numFmtId="1" fontId="2" fillId="0" borderId="0" xfId="0" applyNumberFormat="1" applyFont="1"/>
    <xf numFmtId="2" fontId="2" fillId="0" borderId="1" xfId="65" quotePrefix="1" applyNumberFormat="1" applyFont="1" applyBorder="1" applyAlignment="1">
      <alignment horizontal="center" wrapText="1"/>
    </xf>
    <xf numFmtId="0" fontId="2" fillId="37" borderId="0" xfId="0" applyFont="1" applyFill="1"/>
    <xf numFmtId="0" fontId="2" fillId="37" borderId="0" xfId="0" applyFont="1" applyFill="1" applyBorder="1"/>
    <xf numFmtId="0" fontId="3" fillId="0" borderId="22" xfId="64" applyFont="1" applyBorder="1" applyAlignment="1">
      <alignment horizontal="center" wrapText="1"/>
    </xf>
    <xf numFmtId="0" fontId="3" fillId="0" borderId="21" xfId="64" applyFont="1" applyBorder="1" applyAlignment="1">
      <alignment horizontal="center"/>
    </xf>
    <xf numFmtId="0" fontId="23" fillId="35" borderId="1" xfId="63" applyBorder="1" applyAlignment="1">
      <alignment horizontal="center" wrapText="1"/>
    </xf>
    <xf numFmtId="165" fontId="32" fillId="0" borderId="0" xfId="0" applyNumberFormat="1" applyFont="1"/>
    <xf numFmtId="2" fontId="34" fillId="38" borderId="1" xfId="64" applyNumberFormat="1" applyFont="1" applyFill="1" applyBorder="1">
      <alignment wrapText="1"/>
    </xf>
    <xf numFmtId="0" fontId="1" fillId="0" borderId="0" xfId="0" applyFont="1"/>
    <xf numFmtId="2" fontId="32" fillId="0" borderId="0" xfId="0" applyNumberFormat="1" applyFont="1"/>
    <xf numFmtId="2" fontId="34" fillId="38" borderId="0" xfId="64" applyNumberFormat="1" applyFont="1" applyFill="1" applyBorder="1">
      <alignment wrapText="1"/>
    </xf>
    <xf numFmtId="168" fontId="32" fillId="0" borderId="0" xfId="68" applyNumberFormat="1" applyFont="1"/>
    <xf numFmtId="0" fontId="33" fillId="0" borderId="0" xfId="0" applyFont="1"/>
    <xf numFmtId="0" fontId="36" fillId="0" borderId="0" xfId="0" applyFont="1"/>
    <xf numFmtId="165" fontId="36" fillId="0" borderId="0" xfId="0" applyNumberFormat="1" applyFont="1"/>
    <xf numFmtId="0" fontId="37" fillId="0" borderId="0" xfId="0" applyFont="1"/>
    <xf numFmtId="165" fontId="37" fillId="0" borderId="0" xfId="0" applyNumberFormat="1" applyFont="1"/>
    <xf numFmtId="0" fontId="1" fillId="2" borderId="1" xfId="0" applyFont="1" applyFill="1" applyBorder="1" applyAlignment="1"/>
    <xf numFmtId="0" fontId="1" fillId="0" borderId="0" xfId="0" applyFont="1" applyFill="1" applyBorder="1" applyAlignment="1"/>
    <xf numFmtId="0" fontId="2" fillId="0" borderId="1" xfId="0" applyFont="1" applyBorder="1" applyAlignment="1">
      <alignment horizontal="center"/>
    </xf>
    <xf numFmtId="0" fontId="1" fillId="2" borderId="10" xfId="0" applyFont="1" applyFill="1" applyBorder="1" applyAlignment="1"/>
    <xf numFmtId="0" fontId="1" fillId="2" borderId="21" xfId="0" applyFont="1" applyFill="1" applyBorder="1" applyAlignment="1"/>
    <xf numFmtId="0" fontId="1" fillId="2" borderId="22" xfId="0" applyFont="1" applyFill="1" applyBorder="1" applyAlignment="1"/>
    <xf numFmtId="164" fontId="1" fillId="0" borderId="10" xfId="0" applyNumberFormat="1" applyFont="1" applyFill="1" applyBorder="1" applyAlignment="1">
      <alignment horizontal="left"/>
    </xf>
    <xf numFmtId="164" fontId="1" fillId="0" borderId="21" xfId="0" applyNumberFormat="1" applyFont="1" applyFill="1" applyBorder="1" applyAlignment="1">
      <alignment horizontal="left"/>
    </xf>
    <xf numFmtId="164" fontId="1" fillId="0" borderId="22" xfId="0" applyNumberFormat="1" applyFont="1" applyFill="1" applyBorder="1" applyAlignment="1">
      <alignment horizontal="left"/>
    </xf>
    <xf numFmtId="0" fontId="2" fillId="2" borderId="7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8" xfId="0" applyFont="1" applyFill="1" applyBorder="1" applyAlignment="1">
      <alignment wrapText="1"/>
    </xf>
    <xf numFmtId="0" fontId="2" fillId="2" borderId="4" xfId="0" applyFont="1" applyFill="1" applyBorder="1" applyAlignment="1">
      <alignment wrapText="1"/>
    </xf>
    <xf numFmtId="0" fontId="1" fillId="2" borderId="10" xfId="0" applyFont="1" applyFill="1" applyBorder="1" applyAlignment="1">
      <alignment horizontal="left"/>
    </xf>
    <xf numFmtId="0" fontId="1" fillId="2" borderId="21" xfId="0" applyFont="1" applyFill="1" applyBorder="1" applyAlignment="1">
      <alignment horizontal="left"/>
    </xf>
    <xf numFmtId="0" fontId="1" fillId="2" borderId="22" xfId="0" applyFont="1" applyFill="1" applyBorder="1" applyAlignment="1">
      <alignment horizontal="left"/>
    </xf>
    <xf numFmtId="0" fontId="23" fillId="0" borderId="1" xfId="64" applyBorder="1">
      <alignment wrapText="1"/>
    </xf>
    <xf numFmtId="14" fontId="2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" fillId="2" borderId="10" xfId="0" applyFont="1" applyFill="1" applyBorder="1"/>
    <xf numFmtId="0" fontId="1" fillId="2" borderId="21" xfId="0" applyFont="1" applyFill="1" applyBorder="1"/>
    <xf numFmtId="0" fontId="1" fillId="2" borderId="22" xfId="0" applyFont="1" applyFill="1" applyBorder="1"/>
    <xf numFmtId="0" fontId="2" fillId="2" borderId="5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1" fontId="36" fillId="0" borderId="0" xfId="0" applyNumberFormat="1" applyFont="1"/>
  </cellXfs>
  <cellStyles count="6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/>
    <cellStyle name="Normal 3" xfId="38"/>
    <cellStyle name="Normal 3 2" xfId="39"/>
    <cellStyle name="Normal 4" xfId="40"/>
    <cellStyle name="Normal 4 2" xfId="41"/>
    <cellStyle name="Normal 4 2 2" xfId="42"/>
    <cellStyle name="Normal 4 3" xfId="43"/>
    <cellStyle name="Normal 5" xfId="44"/>
    <cellStyle name="Normal 5 2" xfId="45"/>
    <cellStyle name="Normal 5 3" xfId="46"/>
    <cellStyle name="Normal 5 3 2" xfId="47"/>
    <cellStyle name="Note 2" xfId="48"/>
    <cellStyle name="Note 3" xfId="49"/>
    <cellStyle name="Output" xfId="50" builtinId="21" customBuiltin="1"/>
    <cellStyle name="Percent" xfId="68" builtinId="5"/>
    <cellStyle name="Percent 2" xfId="51"/>
    <cellStyle name="Percent 2 2" xfId="52"/>
    <cellStyle name="Percent 3" xfId="53"/>
    <cellStyle name="Percent 3 2" xfId="54"/>
    <cellStyle name="Percent 3 2 2" xfId="55"/>
    <cellStyle name="Percent 3 3" xfId="56"/>
    <cellStyle name="Percent 3 3 2" xfId="57"/>
    <cellStyle name="Percent 4" xfId="58"/>
    <cellStyle name="Percent 4 2" xfId="59"/>
    <cellStyle name="Title" xfId="60" builtinId="15" customBuiltin="1"/>
    <cellStyle name="Total" xfId="61" builtinId="25" customBuiltin="1"/>
    <cellStyle name="Warning Text" xfId="62" builtinId="11" customBuiltin="1"/>
    <cellStyle name="XLConnect.Boolean" xfId="66"/>
    <cellStyle name="XLConnect.DateTime" xfId="67"/>
    <cellStyle name="XLConnect.Header" xfId="63"/>
    <cellStyle name="XLConnect.Numeric" xfId="65"/>
    <cellStyle name="XLConnect.String" xfId="6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'XS A'!$R$47</c:f>
          <c:strCache>
            <c:ptCount val="1"/>
            <c:pt idx="0">
              <c:v>, </c:v>
            </c:pt>
          </c:strCache>
        </c:strRef>
      </c:tx>
      <c:layout>
        <c:manualLayout>
          <c:xMode val="edge"/>
          <c:yMode val="edge"/>
          <c:x val="0.43403325278871657"/>
          <c:y val="3.631781397121985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7226220010169955E-2"/>
          <c:y val="0.1148411711693933"/>
          <c:w val="0.87477148080438749"/>
          <c:h val="0.65415161792970711"/>
        </c:manualLayout>
      </c:layout>
      <c:scatterChart>
        <c:scatterStyle val="lineMarker"/>
        <c:varyColors val="0"/>
        <c:ser>
          <c:idx val="2"/>
          <c:order val="0"/>
          <c:tx>
            <c:v>Bankfull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'XS A'!$Z$10:$Z$11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3"/>
          <c:order val="1"/>
          <c:tx>
            <c:v>Flood Prone Area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'XS A'!$Y$10:$Y$11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'XS A'!$AA$10:$AA$11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'XS A'!$B$50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'XS A'!$B$52:$B$200</c:f>
              <c:numCache>
                <c:formatCode>0.0000</c:formatCode>
                <c:ptCount val="149"/>
              </c:numCache>
            </c:numRef>
          </c:xVal>
          <c:yVal>
            <c:numRef>
              <c:f>'XS A'!$C$52:$C$200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1"/>
          <c:order val="3"/>
          <c:tx>
            <c:strRef>
              <c:f>'XS A'!$E$50:$F$50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'XS A'!$E$52:$E$200</c:f>
              <c:numCache>
                <c:formatCode>0.0000</c:formatCode>
                <c:ptCount val="149"/>
              </c:numCache>
            </c:numRef>
          </c:xVal>
          <c:yVal>
            <c:numRef>
              <c:f>'XS A'!$F$52:$F$200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4"/>
          <c:order val="4"/>
          <c:tx>
            <c:strRef>
              <c:f>'XS A'!$H$50:$I$50</c:f>
              <c:strCache>
                <c:ptCount val="1"/>
                <c:pt idx="0">
                  <c:v>C</c:v>
                </c:pt>
              </c:strCache>
            </c:strRef>
          </c:tx>
          <c:marker>
            <c:symbol val="none"/>
          </c:marker>
          <c:xVal>
            <c:numRef>
              <c:f>'XS A'!$H$52:$H$200</c:f>
              <c:numCache>
                <c:formatCode>0.0000</c:formatCode>
                <c:ptCount val="149"/>
              </c:numCache>
            </c:numRef>
          </c:xVal>
          <c:yVal>
            <c:numRef>
              <c:f>'XS A'!$I$52:$I$200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5"/>
          <c:order val="5"/>
          <c:tx>
            <c:strRef>
              <c:f>'XS A'!$K$50:$L$50</c:f>
              <c:strCache>
                <c:ptCount val="1"/>
                <c:pt idx="0">
                  <c:v>D</c:v>
                </c:pt>
              </c:strCache>
            </c:strRef>
          </c:tx>
          <c:marker>
            <c:symbol val="none"/>
          </c:marker>
          <c:xVal>
            <c:numRef>
              <c:f>'XS A'!$K$52:$K$200</c:f>
              <c:numCache>
                <c:formatCode>0.0000</c:formatCode>
                <c:ptCount val="149"/>
              </c:numCache>
            </c:numRef>
          </c:xVal>
          <c:yVal>
            <c:numRef>
              <c:f>'XS A'!$L$52:$L$200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6"/>
          <c:order val="6"/>
          <c:tx>
            <c:strRef>
              <c:f>'XS A'!$N$50:$O$50</c:f>
              <c:strCache>
                <c:ptCount val="1"/>
                <c:pt idx="0">
                  <c:v>E</c:v>
                </c:pt>
              </c:strCache>
            </c:strRef>
          </c:tx>
          <c:marker>
            <c:symbol val="none"/>
          </c:marker>
          <c:xVal>
            <c:numRef>
              <c:f>'XS A'!$N$52:$N$200</c:f>
              <c:numCache>
                <c:formatCode>0.0000</c:formatCode>
                <c:ptCount val="149"/>
              </c:numCache>
            </c:numRef>
          </c:xVal>
          <c:yVal>
            <c:numRef>
              <c:f>'XS A'!$O$52:$O$200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7"/>
          <c:order val="7"/>
          <c:tx>
            <c:strRef>
              <c:f>'XS A'!$Q$50:$R$50</c:f>
              <c:strCache>
                <c:ptCount val="1"/>
                <c:pt idx="0">
                  <c:v>F</c:v>
                </c:pt>
              </c:strCache>
            </c:strRef>
          </c:tx>
          <c:marker>
            <c:symbol val="none"/>
          </c:marker>
          <c:xVal>
            <c:numRef>
              <c:f>'XS A'!$Q$52:$Q$200</c:f>
              <c:numCache>
                <c:formatCode>0.0000</c:formatCode>
                <c:ptCount val="149"/>
              </c:numCache>
            </c:numRef>
          </c:xVal>
          <c:yVal>
            <c:numRef>
              <c:f>'XS A'!$R$52:$R$200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8"/>
          <c:order val="8"/>
          <c:tx>
            <c:strRef>
              <c:f>'XS A'!$T$50:$U$50</c:f>
              <c:strCache>
                <c:ptCount val="1"/>
                <c:pt idx="0">
                  <c:v>G</c:v>
                </c:pt>
              </c:strCache>
            </c:strRef>
          </c:tx>
          <c:marker>
            <c:symbol val="none"/>
          </c:marker>
          <c:xVal>
            <c:numRef>
              <c:f>'XS A'!$T$52:$T$200</c:f>
              <c:numCache>
                <c:formatCode>0.0000</c:formatCode>
                <c:ptCount val="149"/>
              </c:numCache>
            </c:numRef>
          </c:xVal>
          <c:yVal>
            <c:numRef>
              <c:f>'XS A'!$U$52:$U$200</c:f>
              <c:numCache>
                <c:formatCode>0.0000</c:formatCode>
                <c:ptCount val="149"/>
              </c:numCache>
            </c:numRef>
          </c:yVal>
          <c:smooth val="0"/>
        </c:ser>
        <c:ser>
          <c:idx val="9"/>
          <c:order val="9"/>
          <c:tx>
            <c:strRef>
              <c:f>'XS A'!$W$50:$X$50</c:f>
              <c:strCache>
                <c:ptCount val="1"/>
                <c:pt idx="0">
                  <c:v>H</c:v>
                </c:pt>
              </c:strCache>
            </c:strRef>
          </c:tx>
          <c:marker>
            <c:symbol val="none"/>
          </c:marker>
          <c:xVal>
            <c:numRef>
              <c:f>'XS A'!$W$52:$W$200</c:f>
              <c:numCache>
                <c:formatCode>0.0000</c:formatCode>
                <c:ptCount val="149"/>
              </c:numCache>
            </c:numRef>
          </c:xVal>
          <c:yVal>
            <c:numRef>
              <c:f>'XS A'!$X$52:$X$200</c:f>
              <c:numCache>
                <c:formatCode>0.0000</c:formatCode>
                <c:ptCount val="14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517728"/>
        <c:axId val="410520080"/>
      </c:scatterChart>
      <c:valAx>
        <c:axId val="410517728"/>
        <c:scaling>
          <c:orientation val="minMax"/>
          <c:max val="5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Station (feet)</a:t>
                </a:r>
              </a:p>
            </c:rich>
          </c:tx>
          <c:layout>
            <c:manualLayout>
              <c:xMode val="edge"/>
              <c:yMode val="edge"/>
              <c:x val="0.47395096378158752"/>
              <c:y val="0.8419236220472441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0520080"/>
        <c:crosses val="autoZero"/>
        <c:crossBetween val="midCat"/>
      </c:valAx>
      <c:valAx>
        <c:axId val="410520080"/>
        <c:scaling>
          <c:orientation val="minMax"/>
          <c:max val="207"/>
          <c:min val="18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25" b="0" i="1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Elevation (feet)</a:t>
                </a:r>
              </a:p>
            </c:rich>
          </c:tx>
          <c:layout>
            <c:manualLayout>
              <c:xMode val="edge"/>
              <c:yMode val="edge"/>
              <c:x val="1.0575797057414913E-2"/>
              <c:y val="0.3807112860892388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410517728"/>
        <c:crosses val="autoZero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8759421773233881E-2"/>
          <c:y val="0.89510608809140846"/>
          <c:w val="0.87951469550583283"/>
          <c:h val="7.166411425189389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535333</xdr:colOff>
      <xdr:row>20</xdr:row>
      <xdr:rowOff>74268</xdr:rowOff>
    </xdr:from>
    <xdr:to>
      <xdr:col>17</xdr:col>
      <xdr:colOff>198231</xdr:colOff>
      <xdr:row>43</xdr:row>
      <xdr:rowOff>80618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45</xdr:row>
          <xdr:rowOff>63500</xdr:rowOff>
        </xdr:from>
        <xdr:to>
          <xdr:col>2</xdr:col>
          <xdr:colOff>584200</xdr:colOff>
          <xdr:row>48</xdr:row>
          <xdr:rowOff>12700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45</xdr:row>
          <xdr:rowOff>69850</xdr:rowOff>
        </xdr:from>
        <xdr:to>
          <xdr:col>4</xdr:col>
          <xdr:colOff>342900</xdr:colOff>
          <xdr:row>48</xdr:row>
          <xdr:rowOff>25400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Scale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527050</xdr:colOff>
          <xdr:row>45</xdr:row>
          <xdr:rowOff>69850</xdr:rowOff>
        </xdr:from>
        <xdr:to>
          <xdr:col>6</xdr:col>
          <xdr:colOff>431800</xdr:colOff>
          <xdr:row>48</xdr:row>
          <xdr:rowOff>19050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444500</xdr:colOff>
          <xdr:row>38</xdr:row>
          <xdr:rowOff>12700</xdr:rowOff>
        </xdr:from>
        <xdr:to>
          <xdr:col>20</xdr:col>
          <xdr:colOff>158750</xdr:colOff>
          <xdr:row>40</xdr:row>
          <xdr:rowOff>133350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Bkf by 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406400</xdr:colOff>
          <xdr:row>38</xdr:row>
          <xdr:rowOff>12700</xdr:rowOff>
        </xdr:from>
        <xdr:to>
          <xdr:col>23</xdr:col>
          <xdr:colOff>260350</xdr:colOff>
          <xdr:row>40</xdr:row>
          <xdr:rowOff>133350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Bkf by 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19050</xdr:colOff>
          <xdr:row>29</xdr:row>
          <xdr:rowOff>158750</xdr:rowOff>
        </xdr:from>
        <xdr:to>
          <xdr:col>26</xdr:col>
          <xdr:colOff>577850</xdr:colOff>
          <xdr:row>32</xdr:row>
          <xdr:rowOff>107950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W250"/>
  <sheetViews>
    <sheetView tabSelected="1" view="pageBreakPreview" topLeftCell="H4" zoomScale="60" zoomScaleNormal="75" workbookViewId="0">
      <selection activeCell="X23" sqref="X23"/>
    </sheetView>
  </sheetViews>
  <sheetFormatPr defaultColWidth="9.1796875" defaultRowHeight="13" x14ac:dyDescent="0.3"/>
  <cols>
    <col min="1" max="1" width="13.90625" style="1" customWidth="1" collapsed="1"/>
    <col min="2" max="3" width="10.54296875" style="1" customWidth="1" collapsed="1"/>
    <col min="4" max="4" width="14.1796875" style="1" customWidth="1" collapsed="1"/>
    <col min="5" max="5" width="10.6328125" style="1" customWidth="1" collapsed="1"/>
    <col min="6" max="6" width="9.26953125" style="1" customWidth="1" collapsed="1"/>
    <col min="7" max="7" width="12.08984375" style="1" customWidth="1" collapsed="1"/>
    <col min="8" max="9" width="9.1796875" style="1" customWidth="1" collapsed="1"/>
    <col min="10" max="10" width="11.81640625" style="1" customWidth="1" collapsed="1"/>
    <col min="11" max="11" width="12.26953125" style="1" customWidth="1" collapsed="1"/>
    <col min="12" max="12" width="10.81640625" style="1" customWidth="1" collapsed="1"/>
    <col min="13" max="13" width="14" style="1" customWidth="1" collapsed="1"/>
    <col min="14" max="15" width="9.1796875" style="1" customWidth="1" collapsed="1"/>
    <col min="16" max="16" width="12.7265625" style="1" customWidth="1" collapsed="1"/>
    <col min="17" max="17" width="9.6328125" style="1" customWidth="1" collapsed="1"/>
    <col min="18" max="18" width="9" style="1" customWidth="1" collapsed="1"/>
    <col min="19" max="19" width="12.90625" style="1" customWidth="1" collapsed="1"/>
    <col min="20" max="20" width="22.54296875" style="1" customWidth="1" collapsed="1"/>
    <col min="21" max="21" width="9.1796875" style="1" customWidth="1" collapsed="1"/>
    <col min="22" max="22" width="16.6328125" style="1" customWidth="1" collapsed="1"/>
    <col min="23" max="23" width="20.6328125" style="1" customWidth="1" collapsed="1"/>
    <col min="24" max="25" width="9.1796875" style="1" collapsed="1"/>
    <col min="26" max="26" width="10.36328125" style="1" customWidth="1" collapsed="1"/>
    <col min="27" max="16384" width="9.1796875" style="1" collapsed="1"/>
  </cols>
  <sheetData>
    <row r="1" spans="1:49" ht="7.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5"/>
    </row>
    <row r="2" spans="1:49" x14ac:dyDescent="0.3">
      <c r="A2" s="24"/>
      <c r="B2" s="101" t="s">
        <v>7</v>
      </c>
      <c r="C2" s="102"/>
      <c r="D2" s="103"/>
      <c r="E2" s="104"/>
      <c r="F2" s="106"/>
      <c r="G2" s="106"/>
      <c r="H2" s="106"/>
      <c r="I2" s="25"/>
      <c r="J2" s="25"/>
      <c r="K2" s="25"/>
      <c r="L2" s="25"/>
      <c r="M2" s="25"/>
      <c r="N2" s="25"/>
      <c r="O2" s="25"/>
      <c r="P2" s="25"/>
      <c r="Q2" s="25"/>
      <c r="R2" s="26"/>
    </row>
    <row r="3" spans="1:49" ht="13.5" thickBot="1" x14ac:dyDescent="0.35">
      <c r="A3" s="24"/>
      <c r="B3" s="101" t="s">
        <v>34</v>
      </c>
      <c r="C3" s="102"/>
      <c r="D3" s="103"/>
      <c r="E3" s="104"/>
      <c r="F3" s="106"/>
      <c r="G3" s="106"/>
      <c r="H3" s="106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49" ht="13.5" thickBot="1" x14ac:dyDescent="0.35">
      <c r="A4" s="24"/>
      <c r="B4" s="101" t="s">
        <v>3</v>
      </c>
      <c r="C4" s="102"/>
      <c r="D4" s="103"/>
      <c r="E4" s="104"/>
      <c r="F4" s="106"/>
      <c r="G4" s="106"/>
      <c r="H4" s="106"/>
      <c r="I4" s="25"/>
      <c r="J4" s="25"/>
      <c r="K4" s="25"/>
      <c r="L4" s="25"/>
      <c r="M4" s="25"/>
      <c r="N4" s="25"/>
      <c r="O4" s="25"/>
      <c r="P4" s="25"/>
      <c r="Q4" s="25"/>
      <c r="R4" s="26"/>
      <c r="T4" s="91" t="s">
        <v>2</v>
      </c>
      <c r="U4" s="92"/>
      <c r="V4" s="93"/>
      <c r="W4" s="3"/>
      <c r="Y4" s="107" t="s">
        <v>15</v>
      </c>
      <c r="Z4" s="108"/>
      <c r="AA4" s="108"/>
      <c r="AB4" s="108"/>
      <c r="AC4" s="109"/>
      <c r="AI4" s="1" t="s">
        <v>25</v>
      </c>
      <c r="AJ4" s="1" t="s">
        <v>26</v>
      </c>
      <c r="AK4" s="1" t="s">
        <v>56</v>
      </c>
      <c r="AL4" s="1" t="s">
        <v>27</v>
      </c>
      <c r="AM4" s="1" t="s">
        <v>57</v>
      </c>
      <c r="AN4" s="1" t="s">
        <v>28</v>
      </c>
      <c r="AO4" s="1" t="s">
        <v>58</v>
      </c>
      <c r="AP4" s="1" t="s">
        <v>59</v>
      </c>
      <c r="AQ4" s="1" t="s">
        <v>60</v>
      </c>
      <c r="AR4" s="1" t="s">
        <v>61</v>
      </c>
      <c r="AS4" s="48" t="s">
        <v>29</v>
      </c>
      <c r="AT4" s="49" t="s">
        <v>30</v>
      </c>
      <c r="AU4" s="49" t="s">
        <v>31</v>
      </c>
      <c r="AV4" s="49" t="s">
        <v>32</v>
      </c>
      <c r="AW4" s="51" t="s">
        <v>33</v>
      </c>
    </row>
    <row r="5" spans="1:49" ht="12.75" customHeight="1" thickBot="1" x14ac:dyDescent="0.35">
      <c r="A5" s="24"/>
      <c r="B5" s="101" t="s">
        <v>8</v>
      </c>
      <c r="C5" s="102"/>
      <c r="D5" s="103"/>
      <c r="E5" s="104"/>
      <c r="F5" s="106"/>
      <c r="G5" s="106"/>
      <c r="H5" s="106"/>
      <c r="I5" s="25"/>
      <c r="J5" s="25"/>
      <c r="K5" s="25"/>
      <c r="L5" s="25"/>
      <c r="M5" s="25"/>
      <c r="N5" s="25"/>
      <c r="O5" s="25"/>
      <c r="P5" s="25"/>
      <c r="Q5" s="25"/>
      <c r="R5" s="26"/>
      <c r="T5" s="91" t="s">
        <v>0</v>
      </c>
      <c r="U5" s="92"/>
      <c r="V5" s="93"/>
      <c r="W5" s="3"/>
      <c r="Y5" s="9"/>
      <c r="Z5" s="10"/>
      <c r="AA5" s="6"/>
      <c r="AB5" s="110"/>
      <c r="AC5" s="111"/>
      <c r="AE5" s="91" t="s">
        <v>22</v>
      </c>
      <c r="AF5" s="92"/>
      <c r="AG5" s="92"/>
      <c r="AH5" s="93"/>
      <c r="AI5" s="18"/>
      <c r="AJ5" s="18"/>
      <c r="AK5" s="18"/>
      <c r="AL5" s="41"/>
      <c r="AM5" s="18"/>
      <c r="AN5" s="18"/>
      <c r="AO5" s="18"/>
      <c r="AP5" s="18"/>
      <c r="AQ5" s="18"/>
      <c r="AR5" s="41"/>
      <c r="AS5" s="43">
        <f t="shared" ref="AS5:AS11" si="0">MIN(AI5:AR5)</f>
        <v>0</v>
      </c>
      <c r="AT5" s="44" t="e">
        <f t="shared" ref="AT5:AT11" si="1">AVERAGE(AI5:AR5)</f>
        <v>#DIV/0!</v>
      </c>
      <c r="AU5" s="44" t="e">
        <f t="shared" ref="AU5:AU11" si="2">MEDIAN(AI5:AR5)</f>
        <v>#NUM!</v>
      </c>
      <c r="AV5" s="44">
        <f t="shared" ref="AV5:AV11" si="3">MAX(AI5:AR5)</f>
        <v>0</v>
      </c>
      <c r="AW5" s="52" t="e">
        <f t="shared" ref="AW5:AW11" si="4">STDEVA(AI5:AR5)</f>
        <v>#DIV/0!</v>
      </c>
    </row>
    <row r="6" spans="1:49" ht="13.5" thickBot="1" x14ac:dyDescent="0.35">
      <c r="A6" s="24"/>
      <c r="B6" s="101" t="s">
        <v>6</v>
      </c>
      <c r="C6" s="102"/>
      <c r="D6" s="103"/>
      <c r="E6" s="104"/>
      <c r="F6" s="105"/>
      <c r="G6" s="105"/>
      <c r="H6" s="105"/>
      <c r="I6" s="25"/>
      <c r="J6" s="25"/>
      <c r="K6" s="25"/>
      <c r="L6" s="25"/>
      <c r="M6" s="25"/>
      <c r="N6" s="25"/>
      <c r="O6" s="25"/>
      <c r="P6" s="25"/>
      <c r="Q6" s="25"/>
      <c r="R6" s="26"/>
      <c r="T6" s="62"/>
      <c r="U6" s="62"/>
      <c r="V6" s="4"/>
      <c r="W6" s="5"/>
      <c r="Y6" s="16"/>
      <c r="Z6" s="17"/>
      <c r="AA6" s="7"/>
      <c r="AB6" s="97"/>
      <c r="AC6" s="98"/>
      <c r="AE6" s="91" t="s">
        <v>17</v>
      </c>
      <c r="AF6" s="92"/>
      <c r="AG6" s="92"/>
      <c r="AH6" s="93"/>
      <c r="AI6" s="38"/>
      <c r="AJ6" s="18"/>
      <c r="AK6" s="18"/>
      <c r="AL6" s="41"/>
      <c r="AM6" s="38"/>
      <c r="AN6" s="18"/>
      <c r="AO6" s="38"/>
      <c r="AP6" s="18"/>
      <c r="AQ6" s="18"/>
      <c r="AR6" s="41"/>
      <c r="AS6" s="45">
        <f t="shared" si="0"/>
        <v>0</v>
      </c>
      <c r="AT6" s="50" t="e">
        <f t="shared" si="1"/>
        <v>#DIV/0!</v>
      </c>
      <c r="AU6" s="46" t="e">
        <f t="shared" si="2"/>
        <v>#NUM!</v>
      </c>
      <c r="AV6" s="44">
        <f t="shared" si="3"/>
        <v>0</v>
      </c>
      <c r="AW6" s="52" t="e">
        <f t="shared" si="4"/>
        <v>#DIV/0!</v>
      </c>
    </row>
    <row r="7" spans="1:49" ht="13.5" thickBot="1" x14ac:dyDescent="0.35">
      <c r="A7" s="24"/>
      <c r="B7" s="101" t="s">
        <v>5</v>
      </c>
      <c r="C7" s="102"/>
      <c r="D7" s="103"/>
      <c r="E7" s="104"/>
      <c r="F7" s="106"/>
      <c r="G7" s="106"/>
      <c r="H7" s="106"/>
      <c r="I7" s="25"/>
      <c r="J7" s="25"/>
      <c r="K7" s="25"/>
      <c r="L7" s="25"/>
      <c r="M7" s="25"/>
      <c r="N7" s="25"/>
      <c r="O7" s="25"/>
      <c r="P7" s="25"/>
      <c r="Q7" s="25"/>
      <c r="R7" s="26"/>
      <c r="T7" s="67" t="s">
        <v>64</v>
      </c>
      <c r="U7" s="78" t="s">
        <v>94</v>
      </c>
      <c r="V7" s="4"/>
      <c r="W7" s="5"/>
      <c r="Y7" s="36"/>
      <c r="Z7" s="37"/>
      <c r="AA7" s="8"/>
      <c r="AB7" s="97"/>
      <c r="AC7" s="98"/>
      <c r="AE7" s="91" t="s">
        <v>19</v>
      </c>
      <c r="AF7" s="92"/>
      <c r="AG7" s="92"/>
      <c r="AH7" s="93"/>
      <c r="AI7" s="18"/>
      <c r="AJ7" s="61"/>
      <c r="AK7" s="61"/>
      <c r="AL7" s="42"/>
      <c r="AM7" s="18"/>
      <c r="AN7" s="61"/>
      <c r="AO7" s="18"/>
      <c r="AP7" s="61"/>
      <c r="AQ7" s="61"/>
      <c r="AR7" s="42"/>
      <c r="AS7" s="45">
        <f t="shared" si="0"/>
        <v>0</v>
      </c>
      <c r="AT7" s="50" t="e">
        <f t="shared" si="1"/>
        <v>#DIV/0!</v>
      </c>
      <c r="AU7" s="46" t="e">
        <f t="shared" si="2"/>
        <v>#NUM!</v>
      </c>
      <c r="AV7" s="44">
        <f t="shared" si="3"/>
        <v>0</v>
      </c>
      <c r="AW7" s="52" t="e">
        <f t="shared" si="4"/>
        <v>#DIV/0!</v>
      </c>
    </row>
    <row r="8" spans="1:49" ht="13.5" thickBot="1" x14ac:dyDescent="0.35">
      <c r="A8" s="24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6"/>
      <c r="T8" s="62" t="s">
        <v>81</v>
      </c>
      <c r="U8" s="77" t="e">
        <f>U7-W10</f>
        <v>#VALUE!</v>
      </c>
      <c r="V8" s="4"/>
      <c r="W8" s="5"/>
      <c r="Y8" s="16"/>
      <c r="Z8" s="17"/>
      <c r="AA8" s="17"/>
      <c r="AB8" s="17"/>
      <c r="AC8" s="7"/>
      <c r="AE8" s="91" t="s">
        <v>18</v>
      </c>
      <c r="AF8" s="92"/>
      <c r="AG8" s="92"/>
      <c r="AH8" s="93"/>
      <c r="AI8" s="61"/>
      <c r="AJ8" s="61"/>
      <c r="AK8" s="61"/>
      <c r="AL8" s="42"/>
      <c r="AM8" s="61"/>
      <c r="AN8" s="61"/>
      <c r="AO8" s="61"/>
      <c r="AP8" s="61"/>
      <c r="AQ8" s="61"/>
      <c r="AR8" s="42"/>
      <c r="AS8" s="45">
        <f t="shared" si="0"/>
        <v>0</v>
      </c>
      <c r="AT8" s="50" t="e">
        <f t="shared" si="1"/>
        <v>#DIV/0!</v>
      </c>
      <c r="AU8" s="46" t="e">
        <f t="shared" si="2"/>
        <v>#NUM!</v>
      </c>
      <c r="AV8" s="44">
        <f t="shared" si="3"/>
        <v>0</v>
      </c>
      <c r="AW8" s="52" t="e">
        <f t="shared" si="4"/>
        <v>#DIV/0!</v>
      </c>
    </row>
    <row r="9" spans="1:49" ht="13" customHeight="1" thickBot="1" x14ac:dyDescent="0.35">
      <c r="A9" s="24"/>
      <c r="B9" s="2" t="s">
        <v>4</v>
      </c>
      <c r="C9" s="2" t="s">
        <v>1</v>
      </c>
      <c r="D9" s="25"/>
      <c r="E9" s="25"/>
      <c r="F9" s="94" t="s">
        <v>23</v>
      </c>
      <c r="G9" s="95"/>
      <c r="H9" s="95"/>
      <c r="I9" s="95"/>
      <c r="J9" s="96"/>
      <c r="K9" s="21"/>
      <c r="L9" s="25"/>
      <c r="M9" s="25"/>
      <c r="N9" s="25"/>
      <c r="O9" s="25"/>
      <c r="P9" s="25"/>
      <c r="Q9" s="25"/>
      <c r="R9" s="26"/>
      <c r="T9" s="67" t="s">
        <v>82</v>
      </c>
      <c r="U9" s="78" t="s">
        <v>94</v>
      </c>
      <c r="V9" s="4"/>
      <c r="W9" s="5"/>
      <c r="Y9" s="9" t="s">
        <v>11</v>
      </c>
      <c r="Z9" s="10" t="s">
        <v>12</v>
      </c>
      <c r="AA9" s="6" t="s">
        <v>13</v>
      </c>
      <c r="AB9" s="97" t="s">
        <v>14</v>
      </c>
      <c r="AC9" s="98"/>
      <c r="AE9" s="91" t="s">
        <v>24</v>
      </c>
      <c r="AF9" s="92"/>
      <c r="AG9" s="92"/>
      <c r="AH9" s="93"/>
      <c r="AI9" s="61"/>
      <c r="AJ9" s="61"/>
      <c r="AK9" s="61"/>
      <c r="AL9" s="42"/>
      <c r="AM9" s="61"/>
      <c r="AN9" s="61"/>
      <c r="AO9" s="61"/>
      <c r="AP9" s="61"/>
      <c r="AQ9" s="61"/>
      <c r="AR9" s="42"/>
      <c r="AS9" s="45">
        <f t="shared" si="0"/>
        <v>0</v>
      </c>
      <c r="AT9" s="50" t="e">
        <f t="shared" si="1"/>
        <v>#DIV/0!</v>
      </c>
      <c r="AU9" s="46" t="e">
        <f t="shared" si="2"/>
        <v>#NUM!</v>
      </c>
      <c r="AV9" s="44">
        <f t="shared" si="3"/>
        <v>0</v>
      </c>
      <c r="AW9" s="52" t="e">
        <f t="shared" si="4"/>
        <v>#DIV/0!</v>
      </c>
    </row>
    <row r="10" spans="1:49" ht="13.5" thickBot="1" x14ac:dyDescent="0.35">
      <c r="A10" s="24"/>
      <c r="B10" s="66"/>
      <c r="C10" s="66"/>
      <c r="D10" s="25"/>
      <c r="E10" s="25"/>
      <c r="F10" s="88" t="s">
        <v>9</v>
      </c>
      <c r="G10" s="88"/>
      <c r="H10" s="88"/>
      <c r="I10" s="88"/>
      <c r="J10" s="71" t="s">
        <v>94</v>
      </c>
      <c r="K10" s="5"/>
      <c r="L10" s="25"/>
      <c r="M10" s="25"/>
      <c r="N10" s="25"/>
      <c r="O10" s="25"/>
      <c r="P10" s="25"/>
      <c r="Q10" s="25"/>
      <c r="R10" s="26"/>
      <c r="T10" s="79" t="s">
        <v>83</v>
      </c>
      <c r="U10" s="77" t="e">
        <f>J10-U9</f>
        <v>#VALUE!</v>
      </c>
      <c r="V10" s="1" t="s">
        <v>43</v>
      </c>
      <c r="W10" s="1">
        <f>MIN(currentEL)</f>
        <v>0</v>
      </c>
      <c r="Y10" s="11">
        <f>MIN(B52:B200,E52:E200,H52:H200,K52:K200,N52:N200, Q52:Q200, T52:T200,W52:W200,Z52:Z200)</f>
        <v>0</v>
      </c>
      <c r="Z10" s="12" t="str">
        <f>J10</f>
        <v>X</v>
      </c>
      <c r="AA10" s="13">
        <f>J13</f>
        <v>0</v>
      </c>
      <c r="AB10" s="97"/>
      <c r="AC10" s="98"/>
      <c r="AE10" s="91" t="s">
        <v>16</v>
      </c>
      <c r="AF10" s="92"/>
      <c r="AG10" s="92"/>
      <c r="AH10" s="93"/>
      <c r="AI10" s="61"/>
      <c r="AJ10" s="61"/>
      <c r="AK10" s="61"/>
      <c r="AL10" s="42"/>
      <c r="AM10" s="61"/>
      <c r="AN10" s="61"/>
      <c r="AO10" s="61"/>
      <c r="AP10" s="61"/>
      <c r="AQ10" s="61"/>
      <c r="AR10" s="42"/>
      <c r="AS10" s="45">
        <f t="shared" si="0"/>
        <v>0</v>
      </c>
      <c r="AT10" s="50" t="e">
        <f t="shared" si="1"/>
        <v>#DIV/0!</v>
      </c>
      <c r="AU10" s="46" t="e">
        <f t="shared" si="2"/>
        <v>#NUM!</v>
      </c>
      <c r="AV10" s="44">
        <f t="shared" si="3"/>
        <v>0</v>
      </c>
      <c r="AW10" s="52" t="e">
        <f t="shared" si="4"/>
        <v>#DIV/0!</v>
      </c>
    </row>
    <row r="11" spans="1:49" ht="13.5" thickBot="1" x14ac:dyDescent="0.35">
      <c r="A11" s="24"/>
      <c r="B11" s="66"/>
      <c r="C11" s="66"/>
      <c r="D11" s="25"/>
      <c r="E11" s="25"/>
      <c r="F11" s="88" t="s">
        <v>24</v>
      </c>
      <c r="G11" s="88"/>
      <c r="H11" s="88"/>
      <c r="I11" s="88"/>
      <c r="J11" s="20">
        <f>IF(ISNUMBER(J10),SUM(AO21:AO107),0)</f>
        <v>0</v>
      </c>
      <c r="K11" s="5"/>
      <c r="L11" s="59"/>
      <c r="M11" s="25"/>
      <c r="N11" s="25"/>
      <c r="O11" s="25"/>
      <c r="P11" s="25"/>
      <c r="Q11" s="25"/>
      <c r="R11" s="26"/>
      <c r="T11" s="79" t="s">
        <v>84</v>
      </c>
      <c r="U11" s="77" t="e">
        <f>U9-MIN(currentEL)</f>
        <v>#VALUE!</v>
      </c>
      <c r="V11" s="1" t="s">
        <v>44</v>
      </c>
      <c r="W11" s="70">
        <f>MAX(currentEL,J13)</f>
        <v>0</v>
      </c>
      <c r="Y11" s="64">
        <f>MAX(B52:B200,E52:E200,H52:H200,K52:K200,N52:N200, Q52:Q200, T52:T200,W52:W200,Z52:Z200)</f>
        <v>0</v>
      </c>
      <c r="Z11" s="14" t="str">
        <f>J10</f>
        <v>X</v>
      </c>
      <c r="AA11" s="15">
        <f>J13</f>
        <v>0</v>
      </c>
      <c r="AB11" s="99"/>
      <c r="AC11" s="100"/>
      <c r="AE11" s="91" t="s">
        <v>20</v>
      </c>
      <c r="AF11" s="92"/>
      <c r="AG11" s="92"/>
      <c r="AH11" s="93"/>
      <c r="AI11" s="61"/>
      <c r="AJ11" s="61"/>
      <c r="AK11" s="61"/>
      <c r="AL11" s="42"/>
      <c r="AM11" s="61"/>
      <c r="AN11" s="61"/>
      <c r="AO11" s="61"/>
      <c r="AP11" s="61"/>
      <c r="AQ11" s="61"/>
      <c r="AR11" s="42"/>
      <c r="AS11" s="47">
        <f t="shared" si="0"/>
        <v>0</v>
      </c>
      <c r="AT11" s="53" t="e">
        <f t="shared" si="1"/>
        <v>#DIV/0!</v>
      </c>
      <c r="AU11" s="46" t="e">
        <f t="shared" si="2"/>
        <v>#NUM!</v>
      </c>
      <c r="AV11" s="44">
        <f t="shared" si="3"/>
        <v>0</v>
      </c>
      <c r="AW11" s="52" t="e">
        <f t="shared" si="4"/>
        <v>#DIV/0!</v>
      </c>
    </row>
    <row r="12" spans="1:49" x14ac:dyDescent="0.3">
      <c r="A12" s="24"/>
      <c r="B12" s="66"/>
      <c r="C12" s="66"/>
      <c r="D12" s="25"/>
      <c r="E12" s="25"/>
      <c r="F12" s="88" t="s">
        <v>22</v>
      </c>
      <c r="G12" s="88"/>
      <c r="H12" s="88"/>
      <c r="I12" s="88"/>
      <c r="J12" s="18">
        <f>IF(ISNUMBER(J10),SUM(AP21:AP107),0)</f>
        <v>0</v>
      </c>
      <c r="K12" s="5"/>
      <c r="L12" s="25"/>
      <c r="M12" s="25"/>
      <c r="N12" s="25"/>
      <c r="O12" s="25"/>
      <c r="P12" s="25"/>
      <c r="Q12" s="25"/>
      <c r="R12" s="26"/>
    </row>
    <row r="13" spans="1:49" x14ac:dyDescent="0.3">
      <c r="A13" s="24"/>
      <c r="B13" s="66"/>
      <c r="C13" s="66"/>
      <c r="D13" s="25"/>
      <c r="E13" s="25"/>
      <c r="F13" s="88" t="s">
        <v>10</v>
      </c>
      <c r="G13" s="88"/>
      <c r="H13" s="88"/>
      <c r="I13" s="88"/>
      <c r="J13" s="18">
        <f>IF(ISNUMBER(J10),J10+J15,0)</f>
        <v>0</v>
      </c>
      <c r="K13" s="5"/>
      <c r="L13" s="25"/>
      <c r="M13" s="25"/>
      <c r="N13" s="25"/>
      <c r="O13" s="25"/>
      <c r="P13" s="25"/>
      <c r="Q13" s="25"/>
      <c r="R13" s="26"/>
      <c r="T13" s="1" t="s">
        <v>41</v>
      </c>
      <c r="U13" s="1">
        <f>FLOOR(MIN(currentSTATION),1)</f>
        <v>0</v>
      </c>
      <c r="V13" s="1" t="s">
        <v>47</v>
      </c>
      <c r="W13" s="1">
        <f>FLOOR(W10-(W11-W10)*0.1,1)</f>
        <v>0</v>
      </c>
    </row>
    <row r="14" spans="1:49" x14ac:dyDescent="0.3">
      <c r="A14" s="24"/>
      <c r="B14" s="66"/>
      <c r="C14" s="66"/>
      <c r="D14" s="25"/>
      <c r="E14" s="25"/>
      <c r="F14" s="88" t="s">
        <v>17</v>
      </c>
      <c r="G14" s="88"/>
      <c r="H14" s="88"/>
      <c r="I14" s="88"/>
      <c r="J14" s="18">
        <f>IF(ISNUMBER(J13),SUM(AT21:AT107),"---")</f>
        <v>0</v>
      </c>
      <c r="K14" s="5"/>
      <c r="L14" s="25"/>
      <c r="M14" s="25"/>
      <c r="N14" s="25"/>
      <c r="O14" s="25"/>
      <c r="P14" s="25"/>
      <c r="Q14" s="25"/>
      <c r="R14" s="26"/>
      <c r="T14" s="1" t="s">
        <v>42</v>
      </c>
      <c r="U14" s="1">
        <f>CEILING(MAX(currentSTATION),1)</f>
        <v>0</v>
      </c>
      <c r="V14" s="1" t="s">
        <v>46</v>
      </c>
      <c r="W14" s="70">
        <f>CEILING(W11+(W11-W10)*0.1,1)</f>
        <v>0</v>
      </c>
    </row>
    <row r="15" spans="1:49" x14ac:dyDescent="0.3">
      <c r="A15" s="24"/>
      <c r="B15" s="66"/>
      <c r="C15" s="66"/>
      <c r="D15" s="25"/>
      <c r="E15" s="25"/>
      <c r="F15" s="88" t="s">
        <v>18</v>
      </c>
      <c r="G15" s="88"/>
      <c r="H15" s="88"/>
      <c r="I15" s="88"/>
      <c r="J15" s="18">
        <f>IF(ISNUMBER(J10),IF(OR(SUM(AJ20:AJ107)=0,ISNA(AN19)),0,AN19-(MIN(AK20:AK107))),0)</f>
        <v>0</v>
      </c>
      <c r="K15" s="5"/>
      <c r="L15" s="25"/>
      <c r="M15" s="25"/>
      <c r="N15" s="25"/>
      <c r="O15" s="25"/>
      <c r="P15" s="25"/>
      <c r="Q15" s="25"/>
      <c r="R15" s="26"/>
    </row>
    <row r="16" spans="1:49" x14ac:dyDescent="0.3">
      <c r="A16" s="24"/>
      <c r="B16" s="66"/>
      <c r="C16" s="66"/>
      <c r="D16" s="25"/>
      <c r="E16" s="25"/>
      <c r="F16" s="88" t="s">
        <v>19</v>
      </c>
      <c r="G16" s="88"/>
      <c r="H16" s="88"/>
      <c r="I16" s="88"/>
      <c r="J16" s="18">
        <f>IF(J12&lt;&gt;0,J11/J12,0)</f>
        <v>0</v>
      </c>
      <c r="K16" s="5"/>
      <c r="L16" s="25"/>
      <c r="M16" s="25"/>
      <c r="N16" s="25"/>
      <c r="O16" s="25"/>
      <c r="P16" s="25"/>
      <c r="Q16" s="25"/>
      <c r="R16" s="26"/>
    </row>
    <row r="17" spans="1:47" x14ac:dyDescent="0.3">
      <c r="A17" s="24"/>
      <c r="B17" s="66"/>
      <c r="C17" s="66"/>
      <c r="D17" s="25"/>
      <c r="E17" s="25"/>
      <c r="F17" s="88" t="s">
        <v>16</v>
      </c>
      <c r="G17" s="88"/>
      <c r="H17" s="88"/>
      <c r="I17" s="88"/>
      <c r="J17" s="18">
        <f>IF(J16&lt;&gt;0,J12/J16,0)</f>
        <v>0</v>
      </c>
      <c r="K17" s="22"/>
      <c r="L17" s="25"/>
      <c r="M17" s="25"/>
      <c r="N17" s="25"/>
      <c r="O17" s="25"/>
      <c r="P17" s="25"/>
      <c r="Q17" s="25"/>
      <c r="R17" s="26"/>
      <c r="W17" s="58"/>
    </row>
    <row r="18" spans="1:47" x14ac:dyDescent="0.3">
      <c r="A18" s="24"/>
      <c r="B18" s="66"/>
      <c r="C18" s="66"/>
      <c r="D18" s="25"/>
      <c r="E18" s="25"/>
      <c r="F18" s="88" t="s">
        <v>20</v>
      </c>
      <c r="G18" s="88"/>
      <c r="H18" s="88"/>
      <c r="I18" s="88"/>
      <c r="J18" s="18" t="str">
        <f>IF(J12&lt;&gt;0,IF(ISNUMBER(J14),J14/J12,"---"),"---")</f>
        <v>---</v>
      </c>
      <c r="K18" s="5"/>
      <c r="L18" s="25"/>
      <c r="M18" s="25"/>
      <c r="N18" s="25"/>
      <c r="O18" s="25"/>
      <c r="P18" s="25"/>
      <c r="Q18" s="25"/>
      <c r="R18" s="26"/>
      <c r="V18" s="1" t="s">
        <v>65</v>
      </c>
      <c r="W18" s="1" t="str">
        <f>"&gt; "&amp;ROUND(MAX(currentSTATION),2)</f>
        <v>&gt; 0</v>
      </c>
      <c r="AJ18" s="63" t="s">
        <v>62</v>
      </c>
      <c r="AN18" s="1" t="s">
        <v>35</v>
      </c>
    </row>
    <row r="19" spans="1:47" x14ac:dyDescent="0.3">
      <c r="A19" s="24"/>
      <c r="B19" s="66"/>
      <c r="C19" s="66"/>
      <c r="D19" s="25"/>
      <c r="E19" s="25"/>
      <c r="F19" s="88" t="s">
        <v>21</v>
      </c>
      <c r="G19" s="88"/>
      <c r="H19" s="88"/>
      <c r="I19" s="88"/>
      <c r="J19" s="18">
        <f>IF(ISNUMBER(J10),(U7-J10+J15)/J15,0)</f>
        <v>0</v>
      </c>
      <c r="K19" s="5"/>
      <c r="L19" s="25"/>
      <c r="M19" s="25"/>
      <c r="N19" s="25"/>
      <c r="O19" s="25"/>
      <c r="P19" s="25"/>
      <c r="Q19" s="25"/>
      <c r="R19" s="26"/>
      <c r="AJ19" s="1" t="s">
        <v>4</v>
      </c>
      <c r="AK19" s="1" t="s">
        <v>36</v>
      </c>
      <c r="AL19" s="1" t="s">
        <v>37</v>
      </c>
      <c r="AN19" s="1" t="str">
        <f>J10</f>
        <v>X</v>
      </c>
    </row>
    <row r="20" spans="1:47" x14ac:dyDescent="0.3">
      <c r="A20" s="24"/>
      <c r="B20" s="65"/>
      <c r="C20" s="65"/>
      <c r="D20" s="25"/>
      <c r="E20" s="25"/>
      <c r="F20" s="25"/>
      <c r="G20" s="25"/>
      <c r="H20" s="25"/>
      <c r="I20" s="25"/>
      <c r="J20" s="25"/>
      <c r="K20" s="23"/>
      <c r="L20" s="25"/>
      <c r="M20" s="25"/>
      <c r="N20" s="25"/>
      <c r="O20" s="25"/>
      <c r="P20" s="25"/>
      <c r="Q20" s="25"/>
      <c r="R20" s="26"/>
      <c r="AJ20" s="60">
        <f>INDEX(currentSTATION,ROW(A1),COLUMN(A1))</f>
        <v>0</v>
      </c>
      <c r="AK20" s="60">
        <f t="shared" ref="AK20:AK51" si="5">IF(INDEX(currentEL,ROW(A1),COLUMN(A1))&lt;&gt;0,INDEX(currentEL,ROW(A1),COLUMN(A1)),100000)</f>
        <v>100000</v>
      </c>
      <c r="AL20" s="1" t="b">
        <f>FALSE</f>
        <v>0</v>
      </c>
      <c r="AO20" s="1" t="s">
        <v>38</v>
      </c>
      <c r="AP20" s="1" t="s">
        <v>39</v>
      </c>
      <c r="AQ20" s="1" t="s">
        <v>79</v>
      </c>
      <c r="AT20" s="1" t="s">
        <v>40</v>
      </c>
      <c r="AU20" s="1" t="s">
        <v>66</v>
      </c>
    </row>
    <row r="21" spans="1:47" x14ac:dyDescent="0.3">
      <c r="A21" s="24"/>
      <c r="B21" s="65"/>
      <c r="C21" s="65"/>
      <c r="D21" s="25"/>
      <c r="E21" s="25"/>
      <c r="F21" s="25"/>
      <c r="G21" s="25"/>
      <c r="H21" s="25"/>
      <c r="I21" s="25"/>
      <c r="J21" s="25"/>
      <c r="K21" s="23"/>
      <c r="L21" s="89"/>
      <c r="M21" s="89"/>
      <c r="N21" s="31"/>
      <c r="O21" s="32"/>
      <c r="P21" s="25"/>
      <c r="Q21" s="25"/>
      <c r="R21" s="26"/>
      <c r="T21" s="1" t="s">
        <v>67</v>
      </c>
      <c r="V21" s="1" t="s">
        <v>68</v>
      </c>
      <c r="W21" s="77" t="e">
        <f>(1.49/U25)*U23*(U26^(2/3))*(U24^(1/2))</f>
        <v>#DIV/0!</v>
      </c>
      <c r="AJ21" s="60">
        <f t="shared" ref="AJ21:AJ51" si="6">IF(INDEX(currentSTATION,ROW(A2),COLUMN(A2))&lt;&gt;0,INDEX(currentSTATION,ROW(A2),COLUMN(A2)),100000)</f>
        <v>100000</v>
      </c>
      <c r="AK21" s="60">
        <f t="shared" si="5"/>
        <v>100000</v>
      </c>
      <c r="AL21" s="1" t="b">
        <f>FALSE</f>
        <v>0</v>
      </c>
      <c r="AO21" s="56" t="e">
        <f>IF(AL20=FALSE,IF(AL21=FALSE,IF(ISNA(AK21),0,IF(AK20&lt;AN$19,IF(AK21&lt;AN$19,(AN$19-(AK20+AK21)*0.5)*AP21,(AN$19-AK20)*0.5*AP21),IF(AK21&lt;AN$19,(AN$19-AK21)*0.5*AP21,0))),0),0)</f>
        <v>#VALUE!</v>
      </c>
      <c r="AP21" s="56">
        <f>IF(AJ21&lt;AJ20,-1,1)*(IF(AL20=FALSE,IF(AL21=FALSE,IF(ISBLANK(AK21),0,IF(AK20&lt;AN$19,IF(AK21&lt;AN$19,((AJ21-AJ20)^2)^0.5,(((AN$19-AK20)*(AJ21-AJ20)/(AK21-AK20))^2)^0.5),IF(AK21&lt;AN$19,(((AN$19-AK21)*(AJ21-AJ20)/(AK20-AK21))^2)^0.5,0))),0),0))</f>
        <v>100000</v>
      </c>
      <c r="AQ21" s="56">
        <f>IF(AL20=FALSE,IF(AL21=FALSE,IF(ISBLANK(AK21),0,IF(AK20&lt;AN$19,IF(AK21&lt;AN$19,(AP21^2+(AK21-AK20)^2)^0.5,(AP21^2+(AN$19-AK20)^2)^0.5),IF(AK21&lt;AN$19,(AP21^2+(AN$19-AK21)^2)^0.5,0))),0),0)</f>
        <v>100000</v>
      </c>
      <c r="AS21" s="57"/>
      <c r="AT21" s="57">
        <f>IF(AU21,IF(ISBLANK(AK21),0,IF(AJ21&lt;AJ20,-1,1)*(IF(ISBLANK(AK21),0,IF(AK20&lt;J$13,IF(AK21&lt;J$13,((AJ21-AJ20)^2)^0.5,(((J$13-AK20)*(AJ21-AJ20)/(AK21-AK20))^2)^0.5),IF(AK21&lt;J$13,(((J$13-AK21)*(AJ21-AJ20)/(AK20-AK21))^2)^0.5,0))))),0)</f>
        <v>0</v>
      </c>
      <c r="AU21" s="1" t="b">
        <f>IF(AK21=100000,FALSE,TRUE)</f>
        <v>0</v>
      </c>
    </row>
    <row r="22" spans="1:47" x14ac:dyDescent="0.3">
      <c r="A22" s="24"/>
      <c r="B22" s="65"/>
      <c r="C22" s="6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6"/>
      <c r="AJ22" s="60">
        <f t="shared" si="6"/>
        <v>100000</v>
      </c>
      <c r="AK22" s="60">
        <f t="shared" si="5"/>
        <v>100000</v>
      </c>
      <c r="AL22" s="1" t="b">
        <f>FALSE</f>
        <v>0</v>
      </c>
      <c r="AO22" s="56" t="e">
        <f t="shared" ref="AO22:AO85" si="7">IF(AL21=FALSE,IF(AL22=FALSE,IF(ISNA(AK22),0,IF(AK21&lt;AN$19,IF(AK22&lt;AN$19,(AN$19-(AK21+AK22)*0.5)*AP22,(AN$19-AK21)*0.5*AP22),IF(AK22&lt;AN$19,(AN$19-AK22)*0.5*AP22,0))),0),0)</f>
        <v>#VALUE!</v>
      </c>
      <c r="AP22" s="56">
        <f t="shared" ref="AP22:AP85" si="8">IF(AJ22&lt;AJ21,-1,1)*(IF(AL21=FALSE,IF(AL22=FALSE,IF(ISBLANK(AK22),0,IF(AK21&lt;AN$19,IF(AK22&lt;AN$19,((AJ22-AJ21)^2)^0.5,(((AN$19-AK21)*(AJ22-AJ21)/(AK22-AK21))^2)^0.5),IF(AK22&lt;AN$19,(((AN$19-AK22)*(AJ22-AJ21)/(AK21-AK22))^2)^0.5,0))),0),0))</f>
        <v>0</v>
      </c>
      <c r="AQ22" s="56">
        <f t="shared" ref="AQ22:AQ85" si="9">IF(AL21=FALSE,IF(AL22=FALSE,IF(ISBLANK(AK22),0,IF(AK21&lt;AN$19,IF(AK22&lt;AN$19,(AP22^2+(AK22-AK21)^2)^0.5,(AP22^2+(AN$19-AK21)^2)^0.5),IF(AK22&lt;AN$19,(AP22^2+(AN$19-AK22)^2)^0.5,0))),0),0)</f>
        <v>0</v>
      </c>
      <c r="AT22" s="57">
        <f t="shared" ref="AT22:AT85" si="10">IF(AU22,IF(ISBLANK(AK22),0,IF(AJ22&lt;AJ21,-1,1)*(IF(ISBLANK(AK22),0,IF(AK21&lt;J$13,IF(AK22&lt;J$13,((AJ22-AJ21)^2)^0.5,(((J$13-AK21)*(AJ22-AJ21)/(AK22-AK21))^2)^0.5),IF(AK22&lt;J$13,(((J$13-AK22)*(AJ22-AJ21)/(AK21-AK22))^2)^0.5,0))))),0)</f>
        <v>0</v>
      </c>
      <c r="AU22" s="1" t="b">
        <f t="shared" ref="AU22:AU85" si="11">IF(AK22=100000,FALSE,TRUE)</f>
        <v>0</v>
      </c>
    </row>
    <row r="23" spans="1:47" x14ac:dyDescent="0.3">
      <c r="A23" s="24"/>
      <c r="B23" s="65"/>
      <c r="C23" s="6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6"/>
      <c r="T23" s="1" t="s">
        <v>69</v>
      </c>
      <c r="U23" s="77">
        <f>J11</f>
        <v>0</v>
      </c>
      <c r="AJ23" s="60">
        <f t="shared" si="6"/>
        <v>100000</v>
      </c>
      <c r="AK23" s="60">
        <f t="shared" si="5"/>
        <v>100000</v>
      </c>
      <c r="AL23" s="1" t="b">
        <f>FALSE</f>
        <v>0</v>
      </c>
      <c r="AO23" s="56" t="e">
        <f t="shared" si="7"/>
        <v>#VALUE!</v>
      </c>
      <c r="AP23" s="56">
        <f t="shared" si="8"/>
        <v>0</v>
      </c>
      <c r="AQ23" s="56">
        <f t="shared" si="9"/>
        <v>0</v>
      </c>
      <c r="AT23" s="57">
        <f t="shared" si="10"/>
        <v>0</v>
      </c>
      <c r="AU23" s="1" t="b">
        <f t="shared" si="11"/>
        <v>0</v>
      </c>
    </row>
    <row r="24" spans="1:47" x14ac:dyDescent="0.3">
      <c r="A24" s="24"/>
      <c r="B24" s="65"/>
      <c r="C24" s="6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6"/>
      <c r="T24" s="1" t="s">
        <v>70</v>
      </c>
      <c r="U24" s="85">
        <v>0.03</v>
      </c>
      <c r="AJ24" s="60">
        <f t="shared" si="6"/>
        <v>100000</v>
      </c>
      <c r="AK24" s="60">
        <f t="shared" si="5"/>
        <v>100000</v>
      </c>
      <c r="AL24" s="1" t="b">
        <f>FALSE</f>
        <v>0</v>
      </c>
      <c r="AO24" s="56" t="e">
        <f t="shared" si="7"/>
        <v>#VALUE!</v>
      </c>
      <c r="AP24" s="56">
        <f t="shared" si="8"/>
        <v>0</v>
      </c>
      <c r="AQ24" s="56">
        <f t="shared" si="9"/>
        <v>0</v>
      </c>
      <c r="AT24" s="57">
        <f t="shared" si="10"/>
        <v>0</v>
      </c>
      <c r="AU24" s="1" t="b">
        <f t="shared" si="11"/>
        <v>0</v>
      </c>
    </row>
    <row r="25" spans="1:47" x14ac:dyDescent="0.3">
      <c r="A25" s="24"/>
      <c r="B25" s="65"/>
      <c r="C25" s="6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6"/>
      <c r="T25" s="1" t="s">
        <v>71</v>
      </c>
      <c r="U25" s="85">
        <v>3.5000000000000003E-2</v>
      </c>
      <c r="AJ25" s="60">
        <f t="shared" si="6"/>
        <v>100000</v>
      </c>
      <c r="AK25" s="60">
        <f t="shared" si="5"/>
        <v>100000</v>
      </c>
      <c r="AL25" s="1" t="b">
        <f>FALSE</f>
        <v>0</v>
      </c>
      <c r="AO25" s="56" t="e">
        <f t="shared" si="7"/>
        <v>#VALUE!</v>
      </c>
      <c r="AP25" s="56">
        <f t="shared" si="8"/>
        <v>0</v>
      </c>
      <c r="AQ25" s="56">
        <f t="shared" si="9"/>
        <v>0</v>
      </c>
      <c r="AT25" s="57">
        <f t="shared" si="10"/>
        <v>0</v>
      </c>
      <c r="AU25" s="1" t="b">
        <f t="shared" si="11"/>
        <v>0</v>
      </c>
    </row>
    <row r="26" spans="1:47" x14ac:dyDescent="0.3">
      <c r="A26" s="24"/>
      <c r="B26" s="65"/>
      <c r="C26" s="6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6"/>
      <c r="T26" s="1" t="s">
        <v>72</v>
      </c>
      <c r="U26" s="77" t="e">
        <f>U23/U27</f>
        <v>#DIV/0!</v>
      </c>
      <c r="AJ26" s="60">
        <f t="shared" si="6"/>
        <v>100000</v>
      </c>
      <c r="AK26" s="60">
        <f t="shared" si="5"/>
        <v>100000</v>
      </c>
      <c r="AL26" s="1" t="b">
        <f>FALSE</f>
        <v>0</v>
      </c>
      <c r="AO26" s="56" t="e">
        <f t="shared" si="7"/>
        <v>#VALUE!</v>
      </c>
      <c r="AP26" s="56">
        <f t="shared" si="8"/>
        <v>0</v>
      </c>
      <c r="AQ26" s="56">
        <f t="shared" si="9"/>
        <v>0</v>
      </c>
      <c r="AT26" s="57">
        <f t="shared" si="10"/>
        <v>0</v>
      </c>
      <c r="AU26" s="1" t="b">
        <f t="shared" si="11"/>
        <v>0</v>
      </c>
    </row>
    <row r="27" spans="1:47" x14ac:dyDescent="0.3">
      <c r="A27" s="24"/>
      <c r="B27" s="65"/>
      <c r="C27" s="6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6"/>
      <c r="T27" s="1" t="s">
        <v>73</v>
      </c>
      <c r="U27" s="77">
        <f>IF(ISNUMBER(J10),SUM(AQ21:AQ107),0)</f>
        <v>0</v>
      </c>
      <c r="AJ27" s="60">
        <f t="shared" si="6"/>
        <v>100000</v>
      </c>
      <c r="AK27" s="60">
        <f t="shared" si="5"/>
        <v>100000</v>
      </c>
      <c r="AL27" s="1" t="b">
        <f>FALSE</f>
        <v>0</v>
      </c>
      <c r="AO27" s="56" t="e">
        <f t="shared" si="7"/>
        <v>#VALUE!</v>
      </c>
      <c r="AP27" s="56">
        <f t="shared" si="8"/>
        <v>0</v>
      </c>
      <c r="AQ27" s="56">
        <f t="shared" si="9"/>
        <v>0</v>
      </c>
      <c r="AT27" s="57">
        <f t="shared" si="10"/>
        <v>0</v>
      </c>
      <c r="AU27" s="1" t="b">
        <f t="shared" si="11"/>
        <v>0</v>
      </c>
    </row>
    <row r="28" spans="1:47" x14ac:dyDescent="0.3">
      <c r="A28" s="24"/>
      <c r="B28" s="65"/>
      <c r="C28" s="6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6"/>
      <c r="U28" s="59"/>
      <c r="AJ28" s="60">
        <f t="shared" si="6"/>
        <v>100000</v>
      </c>
      <c r="AK28" s="60">
        <f t="shared" si="5"/>
        <v>100000</v>
      </c>
      <c r="AL28" s="1" t="b">
        <f>FALSE</f>
        <v>0</v>
      </c>
      <c r="AO28" s="56" t="e">
        <f t="shared" si="7"/>
        <v>#VALUE!</v>
      </c>
      <c r="AP28" s="56">
        <f t="shared" si="8"/>
        <v>0</v>
      </c>
      <c r="AQ28" s="56">
        <f t="shared" si="9"/>
        <v>0</v>
      </c>
      <c r="AT28" s="57">
        <f t="shared" si="10"/>
        <v>0</v>
      </c>
      <c r="AU28" s="1" t="b">
        <f t="shared" si="11"/>
        <v>0</v>
      </c>
    </row>
    <row r="29" spans="1:47" x14ac:dyDescent="0.3">
      <c r="A29" s="24"/>
      <c r="B29" s="65"/>
      <c r="C29" s="65"/>
      <c r="D29" s="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6"/>
      <c r="AJ29" s="60">
        <f t="shared" si="6"/>
        <v>100000</v>
      </c>
      <c r="AK29" s="60">
        <f t="shared" si="5"/>
        <v>100000</v>
      </c>
      <c r="AL29" s="1" t="b">
        <f>FALSE</f>
        <v>0</v>
      </c>
      <c r="AO29" s="56" t="e">
        <f t="shared" si="7"/>
        <v>#VALUE!</v>
      </c>
      <c r="AP29" s="56">
        <f t="shared" si="8"/>
        <v>0</v>
      </c>
      <c r="AQ29" s="56">
        <f t="shared" si="9"/>
        <v>0</v>
      </c>
      <c r="AT29" s="57">
        <f t="shared" si="10"/>
        <v>0</v>
      </c>
      <c r="AU29" s="1" t="b">
        <f t="shared" si="11"/>
        <v>0</v>
      </c>
    </row>
    <row r="30" spans="1:47" x14ac:dyDescent="0.3">
      <c r="A30" s="24"/>
      <c r="B30" s="65"/>
      <c r="C30" s="65"/>
      <c r="D30" s="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6"/>
      <c r="AJ30" s="60">
        <f t="shared" si="6"/>
        <v>100000</v>
      </c>
      <c r="AK30" s="60">
        <f t="shared" si="5"/>
        <v>100000</v>
      </c>
      <c r="AL30" s="1" t="b">
        <f>FALSE</f>
        <v>0</v>
      </c>
      <c r="AO30" s="56" t="e">
        <f t="shared" si="7"/>
        <v>#VALUE!</v>
      </c>
      <c r="AP30" s="56">
        <f t="shared" si="8"/>
        <v>0</v>
      </c>
      <c r="AQ30" s="56">
        <f t="shared" si="9"/>
        <v>0</v>
      </c>
      <c r="AT30" s="57">
        <f t="shared" si="10"/>
        <v>0</v>
      </c>
      <c r="AU30" s="1" t="b">
        <f t="shared" si="11"/>
        <v>0</v>
      </c>
    </row>
    <row r="31" spans="1:47" x14ac:dyDescent="0.3">
      <c r="A31" s="24"/>
      <c r="B31" s="65"/>
      <c r="C31" s="65"/>
      <c r="D31" s="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6"/>
      <c r="U31" s="19" t="s">
        <v>74</v>
      </c>
      <c r="V31" s="19" t="s">
        <v>75</v>
      </c>
      <c r="W31" s="19" t="s">
        <v>76</v>
      </c>
      <c r="X31" s="19" t="s">
        <v>68</v>
      </c>
      <c r="AJ31" s="60">
        <f t="shared" si="6"/>
        <v>100000</v>
      </c>
      <c r="AK31" s="60">
        <f t="shared" si="5"/>
        <v>100000</v>
      </c>
      <c r="AL31" s="1" t="b">
        <f>FALSE</f>
        <v>0</v>
      </c>
      <c r="AO31" s="56" t="e">
        <f t="shared" si="7"/>
        <v>#VALUE!</v>
      </c>
      <c r="AP31" s="56">
        <f t="shared" si="8"/>
        <v>0</v>
      </c>
      <c r="AQ31" s="56">
        <f t="shared" si="9"/>
        <v>0</v>
      </c>
      <c r="AT31" s="57">
        <f t="shared" si="10"/>
        <v>0</v>
      </c>
      <c r="AU31" s="1" t="b">
        <f t="shared" si="11"/>
        <v>0</v>
      </c>
    </row>
    <row r="32" spans="1:47" x14ac:dyDescent="0.3">
      <c r="A32" s="24"/>
      <c r="B32" s="65"/>
      <c r="C32" s="65"/>
      <c r="D32" s="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6"/>
      <c r="T32" s="1" t="s">
        <v>77</v>
      </c>
      <c r="U32" s="80">
        <f>J11</f>
        <v>0</v>
      </c>
      <c r="V32" s="80">
        <f>J12</f>
        <v>0</v>
      </c>
      <c r="W32" s="80">
        <f>J16</f>
        <v>0</v>
      </c>
      <c r="X32" s="80" t="e">
        <f>W21</f>
        <v>#DIV/0!</v>
      </c>
      <c r="AJ32" s="60">
        <f t="shared" si="6"/>
        <v>100000</v>
      </c>
      <c r="AK32" s="60">
        <f t="shared" si="5"/>
        <v>100000</v>
      </c>
      <c r="AL32" s="1" t="b">
        <f>FALSE</f>
        <v>0</v>
      </c>
      <c r="AO32" s="56" t="e">
        <f t="shared" si="7"/>
        <v>#VALUE!</v>
      </c>
      <c r="AP32" s="56">
        <f t="shared" si="8"/>
        <v>0</v>
      </c>
      <c r="AQ32" s="56">
        <f>IF(AL31=FALSE,IF(AL32=FALSE,IF(ISBLANK(AK32),0,IF(AK31&lt;AN$19,IF(AK32&lt;AN$19,(AP32^2+(AK32-AK31)^2)^0.5,(AP32^2+(AN$19-AK31)^2)^0.5),IF(AK32&lt;AN$19,(AP32^2+(AN$19-AK32)^2)^0.5,0))),0),0)</f>
        <v>0</v>
      </c>
      <c r="AT32" s="57">
        <f t="shared" si="10"/>
        <v>0</v>
      </c>
      <c r="AU32" s="1" t="b">
        <f t="shared" si="11"/>
        <v>0</v>
      </c>
    </row>
    <row r="33" spans="1:47" x14ac:dyDescent="0.3">
      <c r="A33" s="24"/>
      <c r="B33" s="65"/>
      <c r="C33" s="65"/>
      <c r="D33" s="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6"/>
      <c r="T33" s="1" t="s">
        <v>78</v>
      </c>
      <c r="U33" s="81" t="s">
        <v>94</v>
      </c>
      <c r="V33" s="81" t="s">
        <v>94</v>
      </c>
      <c r="W33" s="81" t="s">
        <v>94</v>
      </c>
      <c r="X33" s="81" t="s">
        <v>94</v>
      </c>
      <c r="AJ33" s="60">
        <f t="shared" si="6"/>
        <v>100000</v>
      </c>
      <c r="AK33" s="60">
        <f t="shared" si="5"/>
        <v>100000</v>
      </c>
      <c r="AL33" s="1" t="b">
        <f>FALSE</f>
        <v>0</v>
      </c>
      <c r="AO33" s="56" t="e">
        <f t="shared" si="7"/>
        <v>#VALUE!</v>
      </c>
      <c r="AP33" s="56">
        <f t="shared" si="8"/>
        <v>0</v>
      </c>
      <c r="AQ33" s="56">
        <f t="shared" si="9"/>
        <v>0</v>
      </c>
      <c r="AT33" s="57">
        <f t="shared" si="10"/>
        <v>0</v>
      </c>
      <c r="AU33" s="1" t="b">
        <f t="shared" si="11"/>
        <v>0</v>
      </c>
    </row>
    <row r="34" spans="1:47" x14ac:dyDescent="0.3">
      <c r="A34" s="24"/>
      <c r="B34" s="65"/>
      <c r="C34" s="65"/>
      <c r="D34" s="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6"/>
      <c r="T34" s="1" t="s">
        <v>80</v>
      </c>
      <c r="U34" s="82" t="e">
        <f>U32/U33</f>
        <v>#VALUE!</v>
      </c>
      <c r="V34" s="82" t="e">
        <f t="shared" ref="V34:X34" si="12">V32/V33</f>
        <v>#VALUE!</v>
      </c>
      <c r="W34" s="82" t="e">
        <f t="shared" si="12"/>
        <v>#VALUE!</v>
      </c>
      <c r="X34" s="82" t="e">
        <f t="shared" si="12"/>
        <v>#DIV/0!</v>
      </c>
      <c r="Z34" s="1" t="s">
        <v>90</v>
      </c>
      <c r="AA34" s="84">
        <v>0.1</v>
      </c>
      <c r="AJ34" s="60">
        <f t="shared" si="6"/>
        <v>100000</v>
      </c>
      <c r="AK34" s="60">
        <f t="shared" si="5"/>
        <v>100000</v>
      </c>
      <c r="AL34" s="1" t="b">
        <f>FALSE</f>
        <v>0</v>
      </c>
      <c r="AO34" s="56" t="e">
        <f t="shared" si="7"/>
        <v>#VALUE!</v>
      </c>
      <c r="AP34" s="56">
        <f t="shared" si="8"/>
        <v>0</v>
      </c>
      <c r="AQ34" s="56">
        <f t="shared" si="9"/>
        <v>0</v>
      </c>
      <c r="AT34" s="57">
        <f t="shared" si="10"/>
        <v>0</v>
      </c>
      <c r="AU34" s="1" t="b">
        <f t="shared" si="11"/>
        <v>0</v>
      </c>
    </row>
    <row r="35" spans="1:47" x14ac:dyDescent="0.3">
      <c r="A35" s="24"/>
      <c r="B35" s="65"/>
      <c r="C35" s="65"/>
      <c r="D35" s="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6"/>
      <c r="T35" s="1" t="s">
        <v>91</v>
      </c>
      <c r="U35" s="112">
        <v>3</v>
      </c>
      <c r="V35" s="112">
        <v>2</v>
      </c>
      <c r="W35" s="112">
        <v>1</v>
      </c>
      <c r="X35" s="112">
        <v>6</v>
      </c>
      <c r="Z35" s="1" t="s">
        <v>93</v>
      </c>
      <c r="AA35" s="87">
        <v>1.4545134824364443</v>
      </c>
      <c r="AJ35" s="60">
        <f t="shared" si="6"/>
        <v>100000</v>
      </c>
      <c r="AK35" s="60">
        <f t="shared" si="5"/>
        <v>100000</v>
      </c>
      <c r="AL35" s="1" t="b">
        <f>FALSE</f>
        <v>0</v>
      </c>
      <c r="AO35" s="56" t="e">
        <f t="shared" si="7"/>
        <v>#VALUE!</v>
      </c>
      <c r="AP35" s="56">
        <f t="shared" si="8"/>
        <v>0</v>
      </c>
      <c r="AQ35" s="56">
        <f>IF(AL34=FALSE,IF(AL35=FALSE,IF(ISBLANK(AK35),0,IF(AK34&lt;AN$19,IF(AK35&lt;AN$19,(AP35^2+(AK35-AK34)^2)^0.5,(AP35^2+(AN$19-AK34)^2)^0.5),IF(AK35&lt;AN$19,(AP35^2+(AN$19-AK35)^2)^0.5,0))),0),0)</f>
        <v>0</v>
      </c>
      <c r="AT35" s="57">
        <f t="shared" si="10"/>
        <v>0</v>
      </c>
      <c r="AU35" s="1" t="b">
        <f t="shared" si="11"/>
        <v>0</v>
      </c>
    </row>
    <row r="36" spans="1:47" x14ac:dyDescent="0.3">
      <c r="A36" s="24"/>
      <c r="B36" s="65"/>
      <c r="C36" s="65"/>
      <c r="D36" s="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6"/>
      <c r="T36" s="1" t="s">
        <v>92</v>
      </c>
      <c r="U36" s="77" t="e">
        <f>ABS(U35*(U34-1))</f>
        <v>#VALUE!</v>
      </c>
      <c r="V36" s="77" t="e">
        <f t="shared" ref="V36:X36" si="13">ABS(V35*(V34-1))</f>
        <v>#VALUE!</v>
      </c>
      <c r="W36" s="77" t="e">
        <f t="shared" si="13"/>
        <v>#VALUE!</v>
      </c>
      <c r="X36" s="77" t="e">
        <f t="shared" si="13"/>
        <v>#DIV/0!</v>
      </c>
      <c r="AJ36" s="60">
        <f t="shared" si="6"/>
        <v>100000</v>
      </c>
      <c r="AK36" s="60">
        <f t="shared" si="5"/>
        <v>100000</v>
      </c>
      <c r="AL36" s="1" t="b">
        <f>FALSE</f>
        <v>0</v>
      </c>
      <c r="AO36" s="56" t="e">
        <f t="shared" si="7"/>
        <v>#VALUE!</v>
      </c>
      <c r="AP36" s="56">
        <f t="shared" si="8"/>
        <v>0</v>
      </c>
      <c r="AQ36" s="56">
        <f t="shared" si="9"/>
        <v>0</v>
      </c>
      <c r="AT36" s="57">
        <f t="shared" si="10"/>
        <v>0</v>
      </c>
      <c r="AU36" s="1" t="b">
        <f t="shared" si="11"/>
        <v>0</v>
      </c>
    </row>
    <row r="37" spans="1:47" x14ac:dyDescent="0.3">
      <c r="A37" s="24"/>
      <c r="B37" s="65"/>
      <c r="C37" s="65"/>
      <c r="D37" s="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6"/>
      <c r="AJ37" s="60">
        <f t="shared" si="6"/>
        <v>100000</v>
      </c>
      <c r="AK37" s="60">
        <f t="shared" si="5"/>
        <v>100000</v>
      </c>
      <c r="AL37" s="1" t="b">
        <f>FALSE</f>
        <v>0</v>
      </c>
      <c r="AO37" s="56" t="e">
        <f t="shared" si="7"/>
        <v>#VALUE!</v>
      </c>
      <c r="AP37" s="56">
        <f t="shared" si="8"/>
        <v>0</v>
      </c>
      <c r="AQ37" s="56">
        <f t="shared" si="9"/>
        <v>0</v>
      </c>
      <c r="AT37" s="57">
        <f t="shared" si="10"/>
        <v>0</v>
      </c>
      <c r="AU37" s="1" t="b">
        <f t="shared" si="11"/>
        <v>0</v>
      </c>
    </row>
    <row r="38" spans="1:47" x14ac:dyDescent="0.3">
      <c r="A38" s="24"/>
      <c r="B38" s="65"/>
      <c r="C38" s="65"/>
      <c r="D38" s="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6"/>
      <c r="AJ38" s="60">
        <f t="shared" si="6"/>
        <v>100000</v>
      </c>
      <c r="AK38" s="60">
        <f t="shared" si="5"/>
        <v>100000</v>
      </c>
      <c r="AL38" s="1" t="b">
        <f>FALSE</f>
        <v>0</v>
      </c>
      <c r="AO38" s="56" t="e">
        <f t="shared" si="7"/>
        <v>#VALUE!</v>
      </c>
      <c r="AP38" s="56">
        <f t="shared" si="8"/>
        <v>0</v>
      </c>
      <c r="AQ38" s="56">
        <f t="shared" si="9"/>
        <v>0</v>
      </c>
      <c r="AT38" s="57">
        <f t="shared" si="10"/>
        <v>0</v>
      </c>
      <c r="AU38" s="1" t="b">
        <f t="shared" si="11"/>
        <v>0</v>
      </c>
    </row>
    <row r="39" spans="1:47" x14ac:dyDescent="0.3">
      <c r="A39" s="24"/>
      <c r="B39" s="65"/>
      <c r="C39" s="65"/>
      <c r="D39" s="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6"/>
      <c r="AJ39" s="60">
        <f t="shared" si="6"/>
        <v>100000</v>
      </c>
      <c r="AK39" s="60">
        <f t="shared" si="5"/>
        <v>100000</v>
      </c>
      <c r="AL39" s="1" t="b">
        <f>FALSE</f>
        <v>0</v>
      </c>
      <c r="AO39" s="56" t="e">
        <f t="shared" si="7"/>
        <v>#VALUE!</v>
      </c>
      <c r="AP39" s="56">
        <f t="shared" si="8"/>
        <v>0</v>
      </c>
      <c r="AQ39" s="56">
        <f t="shared" si="9"/>
        <v>0</v>
      </c>
      <c r="AT39" s="57">
        <f>IF(AU39,IF(ISBLANK(AK39),0,IF(AJ39&lt;AJ38,-1,1)*(IF(ISBLANK(AK39),0,IF(AK38&lt;J$13,IF(AK39&lt;J$13,((AJ39-AJ38)^2)^0.5,(((J$13-AK38)*(AJ39-AJ38)/(AK39-AK38))^2)^0.5),IF(AK39&lt;J$13,(((J$13-AK39)*(AJ39-AJ38)/(AK38-AK39))^2)^0.5,0))))),0)</f>
        <v>0</v>
      </c>
      <c r="AU39" s="1" t="b">
        <f t="shared" si="11"/>
        <v>0</v>
      </c>
    </row>
    <row r="40" spans="1:47" x14ac:dyDescent="0.3">
      <c r="A40" s="24"/>
      <c r="B40" s="65"/>
      <c r="C40" s="65"/>
      <c r="D40" s="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6"/>
      <c r="AJ40" s="60">
        <f t="shared" si="6"/>
        <v>100000</v>
      </c>
      <c r="AK40" s="60">
        <f t="shared" si="5"/>
        <v>100000</v>
      </c>
      <c r="AL40" s="1" t="b">
        <f>FALSE</f>
        <v>0</v>
      </c>
      <c r="AO40" s="56" t="e">
        <f t="shared" si="7"/>
        <v>#VALUE!</v>
      </c>
      <c r="AP40" s="56">
        <f t="shared" si="8"/>
        <v>0</v>
      </c>
      <c r="AQ40" s="56">
        <f t="shared" si="9"/>
        <v>0</v>
      </c>
      <c r="AT40" s="57">
        <f t="shared" si="10"/>
        <v>0</v>
      </c>
      <c r="AU40" s="1" t="b">
        <f t="shared" si="11"/>
        <v>0</v>
      </c>
    </row>
    <row r="41" spans="1:47" x14ac:dyDescent="0.3">
      <c r="A41" s="24"/>
      <c r="B41" s="55"/>
      <c r="C41" s="55"/>
      <c r="D41" s="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6"/>
      <c r="AJ41" s="60">
        <f t="shared" si="6"/>
        <v>100000</v>
      </c>
      <c r="AK41" s="60">
        <f t="shared" si="5"/>
        <v>100000</v>
      </c>
      <c r="AL41" s="1" t="b">
        <f>FALSE</f>
        <v>0</v>
      </c>
      <c r="AO41" s="56" t="e">
        <f t="shared" si="7"/>
        <v>#VALUE!</v>
      </c>
      <c r="AP41" s="56">
        <f t="shared" si="8"/>
        <v>0</v>
      </c>
      <c r="AQ41" s="56">
        <f t="shared" si="9"/>
        <v>0</v>
      </c>
      <c r="AT41" s="57">
        <f t="shared" si="10"/>
        <v>0</v>
      </c>
      <c r="AU41" s="1" t="b">
        <f t="shared" si="11"/>
        <v>0</v>
      </c>
    </row>
    <row r="42" spans="1:47" x14ac:dyDescent="0.3">
      <c r="A42" s="24"/>
      <c r="B42" s="55"/>
      <c r="C42" s="55"/>
      <c r="D42" s="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6"/>
      <c r="T42" s="1" t="s">
        <v>85</v>
      </c>
      <c r="U42" s="81" t="str">
        <f>U33</f>
        <v>X</v>
      </c>
      <c r="W42" s="1" t="s">
        <v>89</v>
      </c>
      <c r="X42" s="81" t="str">
        <f>X33</f>
        <v>X</v>
      </c>
      <c r="AJ42" s="60">
        <f t="shared" si="6"/>
        <v>100000</v>
      </c>
      <c r="AK42" s="60">
        <f t="shared" si="5"/>
        <v>100000</v>
      </c>
      <c r="AL42" s="1" t="b">
        <f>FALSE</f>
        <v>0</v>
      </c>
      <c r="AO42" s="56" t="e">
        <f t="shared" si="7"/>
        <v>#VALUE!</v>
      </c>
      <c r="AP42" s="56">
        <f t="shared" si="8"/>
        <v>0</v>
      </c>
      <c r="AQ42" s="56">
        <f t="shared" si="9"/>
        <v>0</v>
      </c>
      <c r="AT42" s="57">
        <f t="shared" si="10"/>
        <v>0</v>
      </c>
      <c r="AU42" s="1" t="b">
        <f t="shared" si="11"/>
        <v>0</v>
      </c>
    </row>
    <row r="43" spans="1:47" x14ac:dyDescent="0.3">
      <c r="A43" s="24"/>
      <c r="B43" s="55"/>
      <c r="C43" s="55"/>
      <c r="D43" s="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6"/>
      <c r="T43" s="1" t="s">
        <v>86</v>
      </c>
      <c r="U43" s="83">
        <v>1E-4</v>
      </c>
      <c r="W43" s="1" t="s">
        <v>86</v>
      </c>
      <c r="X43" s="83">
        <v>1E-4</v>
      </c>
      <c r="AJ43" s="60">
        <f t="shared" si="6"/>
        <v>100000</v>
      </c>
      <c r="AK43" s="60">
        <f t="shared" si="5"/>
        <v>100000</v>
      </c>
      <c r="AL43" s="1" t="b">
        <f>FALSE</f>
        <v>0</v>
      </c>
      <c r="AO43" s="56" t="e">
        <f t="shared" si="7"/>
        <v>#VALUE!</v>
      </c>
      <c r="AP43" s="56">
        <f t="shared" si="8"/>
        <v>0</v>
      </c>
      <c r="AQ43" s="56">
        <f t="shared" si="9"/>
        <v>0</v>
      </c>
      <c r="AT43" s="57">
        <f t="shared" si="10"/>
        <v>0</v>
      </c>
      <c r="AU43" s="1" t="b">
        <f t="shared" si="11"/>
        <v>0</v>
      </c>
    </row>
    <row r="44" spans="1:47" ht="13.5" customHeight="1" x14ac:dyDescent="0.3">
      <c r="A44" s="24"/>
      <c r="B44" s="55"/>
      <c r="C44" s="55"/>
      <c r="D44" s="5"/>
      <c r="E44" s="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6"/>
      <c r="T44" s="1" t="s">
        <v>87</v>
      </c>
      <c r="U44" s="83">
        <v>50</v>
      </c>
      <c r="W44" s="1" t="s">
        <v>87</v>
      </c>
      <c r="X44" s="83">
        <v>50</v>
      </c>
      <c r="AJ44" s="60">
        <f t="shared" si="6"/>
        <v>100000</v>
      </c>
      <c r="AK44" s="60">
        <f t="shared" si="5"/>
        <v>100000</v>
      </c>
      <c r="AL44" s="1" t="b">
        <f>FALSE</f>
        <v>0</v>
      </c>
      <c r="AO44" s="56" t="e">
        <f t="shared" si="7"/>
        <v>#VALUE!</v>
      </c>
      <c r="AP44" s="56">
        <f t="shared" si="8"/>
        <v>0</v>
      </c>
      <c r="AQ44" s="56">
        <f t="shared" si="9"/>
        <v>0</v>
      </c>
      <c r="AT44" s="57">
        <f t="shared" si="10"/>
        <v>0</v>
      </c>
      <c r="AU44" s="1" t="b">
        <f t="shared" si="11"/>
        <v>0</v>
      </c>
    </row>
    <row r="45" spans="1:47" x14ac:dyDescent="0.3">
      <c r="A45" s="27"/>
      <c r="B45" s="54"/>
      <c r="C45" s="28"/>
      <c r="D45" s="28"/>
      <c r="E45" s="28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30"/>
      <c r="T45" s="1" t="s">
        <v>88</v>
      </c>
      <c r="U45" s="86">
        <v>20</v>
      </c>
      <c r="W45" s="1" t="s">
        <v>88</v>
      </c>
      <c r="X45" s="86">
        <v>20</v>
      </c>
      <c r="AJ45" s="60">
        <f t="shared" si="6"/>
        <v>100000</v>
      </c>
      <c r="AK45" s="60">
        <f t="shared" si="5"/>
        <v>100000</v>
      </c>
      <c r="AL45" s="1" t="b">
        <f>FALSE</f>
        <v>0</v>
      </c>
      <c r="AO45" s="56" t="e">
        <f t="shared" si="7"/>
        <v>#VALUE!</v>
      </c>
      <c r="AP45" s="56">
        <f t="shared" si="8"/>
        <v>0</v>
      </c>
      <c r="AQ45" s="56">
        <f t="shared" si="9"/>
        <v>0</v>
      </c>
      <c r="AT45" s="57">
        <f t="shared" si="10"/>
        <v>0</v>
      </c>
      <c r="AU45" s="1" t="b">
        <f t="shared" si="11"/>
        <v>0</v>
      </c>
    </row>
    <row r="46" spans="1:47" x14ac:dyDescent="0.3">
      <c r="A46" s="25"/>
      <c r="B46" s="39"/>
      <c r="C46" s="40"/>
      <c r="D46" s="5"/>
      <c r="E46" s="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W46" s="25"/>
      <c r="X46" s="25"/>
      <c r="AJ46" s="60">
        <f t="shared" si="6"/>
        <v>100000</v>
      </c>
      <c r="AK46" s="60">
        <f t="shared" si="5"/>
        <v>100000</v>
      </c>
      <c r="AL46" s="1" t="b">
        <f>FALSE</f>
        <v>0</v>
      </c>
      <c r="AO46" s="56" t="e">
        <f t="shared" si="7"/>
        <v>#VALUE!</v>
      </c>
      <c r="AP46" s="56">
        <f t="shared" si="8"/>
        <v>0</v>
      </c>
      <c r="AQ46" s="56">
        <f t="shared" si="9"/>
        <v>0</v>
      </c>
      <c r="AT46" s="57">
        <f t="shared" si="10"/>
        <v>0</v>
      </c>
      <c r="AU46" s="1" t="b">
        <f t="shared" si="11"/>
        <v>0</v>
      </c>
    </row>
    <row r="47" spans="1:47" x14ac:dyDescent="0.3">
      <c r="A47" s="25"/>
      <c r="Q47" s="90" t="s">
        <v>45</v>
      </c>
      <c r="R47" s="90" t="str">
        <f>CONCATENATE(E3,", ",E4)</f>
        <v xml:space="preserve">, </v>
      </c>
      <c r="S47" s="90"/>
      <c r="T47" s="90"/>
      <c r="AJ47" s="60">
        <f t="shared" si="6"/>
        <v>100000</v>
      </c>
      <c r="AK47" s="60">
        <f t="shared" si="5"/>
        <v>100000</v>
      </c>
      <c r="AL47" s="1" t="b">
        <f>FALSE</f>
        <v>0</v>
      </c>
      <c r="AO47" s="56" t="e">
        <f t="shared" si="7"/>
        <v>#VALUE!</v>
      </c>
      <c r="AP47" s="56">
        <f t="shared" si="8"/>
        <v>0</v>
      </c>
      <c r="AQ47" s="56">
        <f t="shared" si="9"/>
        <v>0</v>
      </c>
      <c r="AT47" s="57">
        <f t="shared" si="10"/>
        <v>0</v>
      </c>
      <c r="AU47" s="1" t="b">
        <f t="shared" si="11"/>
        <v>0</v>
      </c>
    </row>
    <row r="48" spans="1:47" x14ac:dyDescent="0.3">
      <c r="A48" s="25"/>
      <c r="Q48" s="90"/>
      <c r="R48" s="90"/>
      <c r="S48" s="90"/>
      <c r="T48" s="90"/>
      <c r="AJ48" s="60">
        <f t="shared" si="6"/>
        <v>100000</v>
      </c>
      <c r="AK48" s="60">
        <f t="shared" si="5"/>
        <v>100000</v>
      </c>
      <c r="AL48" s="1" t="b">
        <f>FALSE</f>
        <v>0</v>
      </c>
      <c r="AO48" s="56" t="e">
        <f t="shared" si="7"/>
        <v>#VALUE!</v>
      </c>
      <c r="AP48" s="56">
        <f t="shared" si="8"/>
        <v>0</v>
      </c>
      <c r="AQ48" s="56">
        <f t="shared" si="9"/>
        <v>0</v>
      </c>
      <c r="AT48" s="57">
        <f t="shared" si="10"/>
        <v>0</v>
      </c>
      <c r="AU48" s="1" t="b">
        <f t="shared" si="11"/>
        <v>0</v>
      </c>
    </row>
    <row r="49" spans="1:47" x14ac:dyDescent="0.3">
      <c r="A49" s="25"/>
      <c r="AJ49" s="60">
        <f t="shared" si="6"/>
        <v>100000</v>
      </c>
      <c r="AK49" s="60">
        <f t="shared" si="5"/>
        <v>100000</v>
      </c>
      <c r="AL49" s="1" t="b">
        <f>FALSE</f>
        <v>0</v>
      </c>
      <c r="AO49" s="56" t="e">
        <f t="shared" si="7"/>
        <v>#VALUE!</v>
      </c>
      <c r="AP49" s="56">
        <f t="shared" si="8"/>
        <v>0</v>
      </c>
      <c r="AQ49" s="56">
        <f t="shared" si="9"/>
        <v>0</v>
      </c>
      <c r="AT49" s="57">
        <f t="shared" si="10"/>
        <v>0</v>
      </c>
      <c r="AU49" s="1" t="b">
        <f t="shared" si="11"/>
        <v>0</v>
      </c>
    </row>
    <row r="50" spans="1:47" x14ac:dyDescent="0.3">
      <c r="A50" s="42"/>
      <c r="B50" s="75" t="s">
        <v>48</v>
      </c>
      <c r="C50" s="74"/>
      <c r="D50" s="42"/>
      <c r="E50" s="75" t="s">
        <v>49</v>
      </c>
      <c r="F50" s="74"/>
      <c r="G50" s="42"/>
      <c r="H50" s="75" t="s">
        <v>51</v>
      </c>
      <c r="I50" s="74"/>
      <c r="J50" s="42"/>
      <c r="K50" s="75" t="s">
        <v>50</v>
      </c>
      <c r="L50" s="74"/>
      <c r="M50" s="42"/>
      <c r="N50" s="75" t="s">
        <v>52</v>
      </c>
      <c r="O50" s="74"/>
      <c r="P50" s="42"/>
      <c r="Q50" s="75" t="s">
        <v>53</v>
      </c>
      <c r="R50" s="74"/>
      <c r="S50" s="42"/>
      <c r="T50" s="75" t="s">
        <v>54</v>
      </c>
      <c r="U50" s="74"/>
      <c r="V50" s="42"/>
      <c r="W50" s="75" t="s">
        <v>55</v>
      </c>
      <c r="X50" s="74"/>
      <c r="AJ50" s="60">
        <f t="shared" si="6"/>
        <v>100000</v>
      </c>
      <c r="AK50" s="60">
        <f t="shared" si="5"/>
        <v>100000</v>
      </c>
      <c r="AL50" s="1" t="b">
        <f>FALSE</f>
        <v>0</v>
      </c>
      <c r="AO50" s="56" t="e">
        <f t="shared" si="7"/>
        <v>#VALUE!</v>
      </c>
      <c r="AP50" s="56">
        <f t="shared" si="8"/>
        <v>0</v>
      </c>
      <c r="AQ50" s="56">
        <f t="shared" si="9"/>
        <v>0</v>
      </c>
      <c r="AT50" s="57">
        <f t="shared" si="10"/>
        <v>0</v>
      </c>
      <c r="AU50" s="1" t="b">
        <f t="shared" si="11"/>
        <v>0</v>
      </c>
    </row>
    <row r="51" spans="1:47" x14ac:dyDescent="0.3">
      <c r="A51" s="76" t="s">
        <v>63</v>
      </c>
      <c r="B51" s="76" t="s">
        <v>4</v>
      </c>
      <c r="C51" s="76" t="s">
        <v>1</v>
      </c>
      <c r="D51" s="76" t="s">
        <v>63</v>
      </c>
      <c r="E51" s="76" t="s">
        <v>4</v>
      </c>
      <c r="F51" s="76" t="s">
        <v>1</v>
      </c>
      <c r="G51" s="76" t="s">
        <v>63</v>
      </c>
      <c r="H51" s="76" t="s">
        <v>4</v>
      </c>
      <c r="I51" s="76" t="s">
        <v>1</v>
      </c>
      <c r="J51" s="76" t="s">
        <v>63</v>
      </c>
      <c r="K51" s="76" t="s">
        <v>4</v>
      </c>
      <c r="L51" s="76" t="s">
        <v>1</v>
      </c>
      <c r="M51" s="76" t="s">
        <v>63</v>
      </c>
      <c r="N51" s="76" t="s">
        <v>4</v>
      </c>
      <c r="O51" s="76" t="s">
        <v>1</v>
      </c>
      <c r="P51" s="76" t="s">
        <v>63</v>
      </c>
      <c r="Q51" s="76" t="s">
        <v>4</v>
      </c>
      <c r="R51" s="76" t="s">
        <v>1</v>
      </c>
      <c r="S51" s="76" t="s">
        <v>63</v>
      </c>
      <c r="T51" s="76" t="s">
        <v>4</v>
      </c>
      <c r="U51" s="76" t="s">
        <v>1</v>
      </c>
      <c r="V51" s="76" t="s">
        <v>63</v>
      </c>
      <c r="W51" s="76" t="s">
        <v>4</v>
      </c>
      <c r="X51" s="76" t="s">
        <v>1</v>
      </c>
      <c r="AJ51" s="60">
        <f t="shared" si="6"/>
        <v>100000</v>
      </c>
      <c r="AK51" s="60">
        <f t="shared" si="5"/>
        <v>100000</v>
      </c>
      <c r="AL51" s="1" t="b">
        <f>FALSE</f>
        <v>0</v>
      </c>
      <c r="AO51" s="56" t="e">
        <f t="shared" si="7"/>
        <v>#VALUE!</v>
      </c>
      <c r="AP51" s="56">
        <f t="shared" si="8"/>
        <v>0</v>
      </c>
      <c r="AQ51" s="56">
        <f t="shared" si="9"/>
        <v>0</v>
      </c>
      <c r="AT51" s="57">
        <f t="shared" si="10"/>
        <v>0</v>
      </c>
      <c r="AU51" s="1" t="b">
        <f t="shared" si="11"/>
        <v>0</v>
      </c>
    </row>
    <row r="52" spans="1:47" x14ac:dyDescent="0.3">
      <c r="A52" s="72"/>
      <c r="B52" s="68"/>
      <c r="C52" s="68"/>
      <c r="D52" s="68"/>
      <c r="E52" s="68"/>
      <c r="F52" s="68"/>
      <c r="G52" s="68"/>
      <c r="H52" s="68"/>
      <c r="I52" s="68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J52" s="60">
        <f t="shared" ref="AJ52:AJ83" si="14">IF(INDEX(currentSTATION,ROW(A33),COLUMN(A33))&lt;&gt;0,INDEX(currentSTATION,ROW(A33),COLUMN(A33)),100000)</f>
        <v>100000</v>
      </c>
      <c r="AK52" s="60">
        <f t="shared" ref="AK52:AK83" si="15">IF(INDEX(currentEL,ROW(A33),COLUMN(A33))&lt;&gt;0,INDEX(currentEL,ROW(A33),COLUMN(A33)),100000)</f>
        <v>100000</v>
      </c>
      <c r="AL52" s="1" t="b">
        <f>FALSE</f>
        <v>0</v>
      </c>
      <c r="AO52" s="56" t="e">
        <f t="shared" si="7"/>
        <v>#VALUE!</v>
      </c>
      <c r="AP52" s="56">
        <f t="shared" si="8"/>
        <v>0</v>
      </c>
      <c r="AQ52" s="56">
        <f t="shared" si="9"/>
        <v>0</v>
      </c>
      <c r="AT52" s="57">
        <f t="shared" si="10"/>
        <v>0</v>
      </c>
      <c r="AU52" s="1" t="b">
        <f t="shared" si="11"/>
        <v>0</v>
      </c>
    </row>
    <row r="53" spans="1:47" x14ac:dyDescent="0.3">
      <c r="A53" s="73"/>
      <c r="B53" s="68"/>
      <c r="C53" s="68"/>
      <c r="D53" s="68"/>
      <c r="E53" s="68"/>
      <c r="F53" s="68"/>
      <c r="G53" s="68"/>
      <c r="H53" s="68"/>
      <c r="I53" s="68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J53" s="60">
        <f t="shared" si="14"/>
        <v>100000</v>
      </c>
      <c r="AK53" s="60">
        <f t="shared" si="15"/>
        <v>100000</v>
      </c>
      <c r="AL53" s="1" t="b">
        <f>FALSE</f>
        <v>0</v>
      </c>
      <c r="AO53" s="56" t="e">
        <f t="shared" si="7"/>
        <v>#VALUE!</v>
      </c>
      <c r="AP53" s="56">
        <f t="shared" si="8"/>
        <v>0</v>
      </c>
      <c r="AQ53" s="56">
        <f t="shared" si="9"/>
        <v>0</v>
      </c>
      <c r="AT53" s="57">
        <f t="shared" si="10"/>
        <v>0</v>
      </c>
      <c r="AU53" s="1" t="b">
        <f t="shared" si="11"/>
        <v>0</v>
      </c>
    </row>
    <row r="54" spans="1:47" x14ac:dyDescent="0.3">
      <c r="A54" s="73"/>
      <c r="B54" s="68"/>
      <c r="C54" s="68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J54" s="60">
        <f t="shared" si="14"/>
        <v>100000</v>
      </c>
      <c r="AK54" s="60">
        <f t="shared" si="15"/>
        <v>100000</v>
      </c>
      <c r="AL54" s="1" t="b">
        <f>FALSE</f>
        <v>0</v>
      </c>
      <c r="AO54" s="56" t="e">
        <f t="shared" si="7"/>
        <v>#VALUE!</v>
      </c>
      <c r="AP54" s="56">
        <f t="shared" si="8"/>
        <v>0</v>
      </c>
      <c r="AQ54" s="56">
        <f t="shared" si="9"/>
        <v>0</v>
      </c>
      <c r="AT54" s="57">
        <f t="shared" si="10"/>
        <v>0</v>
      </c>
      <c r="AU54" s="1" t="b">
        <f t="shared" si="11"/>
        <v>0</v>
      </c>
    </row>
    <row r="55" spans="1:47" x14ac:dyDescent="0.3">
      <c r="A55" s="73"/>
      <c r="B55" s="68"/>
      <c r="C55" s="68"/>
      <c r="D55" s="68"/>
      <c r="E55" s="68"/>
      <c r="F55" s="68"/>
      <c r="G55" s="68"/>
      <c r="H55" s="68"/>
      <c r="I55" s="68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J55" s="60">
        <f t="shared" si="14"/>
        <v>100000</v>
      </c>
      <c r="AK55" s="60">
        <f t="shared" si="15"/>
        <v>100000</v>
      </c>
      <c r="AL55" s="1" t="b">
        <f>FALSE</f>
        <v>0</v>
      </c>
      <c r="AO55" s="56" t="e">
        <f t="shared" si="7"/>
        <v>#VALUE!</v>
      </c>
      <c r="AP55" s="56">
        <f t="shared" si="8"/>
        <v>0</v>
      </c>
      <c r="AQ55" s="56">
        <f t="shared" si="9"/>
        <v>0</v>
      </c>
      <c r="AT55" s="57">
        <f t="shared" si="10"/>
        <v>0</v>
      </c>
      <c r="AU55" s="1" t="b">
        <f t="shared" si="11"/>
        <v>0</v>
      </c>
    </row>
    <row r="56" spans="1:47" x14ac:dyDescent="0.3">
      <c r="A56" s="73"/>
      <c r="B56" s="68"/>
      <c r="C56" s="68"/>
      <c r="D56" s="68"/>
      <c r="E56" s="68"/>
      <c r="F56" s="68"/>
      <c r="G56" s="68"/>
      <c r="H56" s="68"/>
      <c r="I56" s="68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J56" s="60">
        <f t="shared" si="14"/>
        <v>100000</v>
      </c>
      <c r="AK56" s="60">
        <f t="shared" si="15"/>
        <v>100000</v>
      </c>
      <c r="AL56" s="1" t="b">
        <f>FALSE</f>
        <v>0</v>
      </c>
      <c r="AO56" s="56" t="e">
        <f t="shared" si="7"/>
        <v>#VALUE!</v>
      </c>
      <c r="AP56" s="56">
        <f t="shared" si="8"/>
        <v>0</v>
      </c>
      <c r="AQ56" s="56">
        <f t="shared" si="9"/>
        <v>0</v>
      </c>
      <c r="AT56" s="57">
        <f t="shared" si="10"/>
        <v>0</v>
      </c>
      <c r="AU56" s="1" t="b">
        <f t="shared" si="11"/>
        <v>0</v>
      </c>
    </row>
    <row r="57" spans="1:47" x14ac:dyDescent="0.3">
      <c r="A57" s="73"/>
      <c r="B57" s="68"/>
      <c r="C57" s="68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J57" s="60">
        <f t="shared" si="14"/>
        <v>100000</v>
      </c>
      <c r="AK57" s="60">
        <f t="shared" si="15"/>
        <v>100000</v>
      </c>
      <c r="AL57" s="1" t="b">
        <f>FALSE</f>
        <v>0</v>
      </c>
      <c r="AO57" s="56" t="e">
        <f t="shared" si="7"/>
        <v>#VALUE!</v>
      </c>
      <c r="AP57" s="56">
        <f t="shared" si="8"/>
        <v>0</v>
      </c>
      <c r="AQ57" s="56">
        <f t="shared" si="9"/>
        <v>0</v>
      </c>
      <c r="AT57" s="57">
        <f t="shared" si="10"/>
        <v>0</v>
      </c>
      <c r="AU57" s="1" t="b">
        <f t="shared" si="11"/>
        <v>0</v>
      </c>
    </row>
    <row r="58" spans="1:47" ht="14" customHeight="1" x14ac:dyDescent="0.3">
      <c r="A58" s="73"/>
      <c r="B58" s="68"/>
      <c r="C58" s="68"/>
      <c r="D58" s="68"/>
      <c r="E58" s="68"/>
      <c r="F58" s="68"/>
      <c r="G58" s="68"/>
      <c r="H58" s="68"/>
      <c r="I58" s="68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J58" s="60">
        <f t="shared" si="14"/>
        <v>100000</v>
      </c>
      <c r="AK58" s="60">
        <f t="shared" si="15"/>
        <v>100000</v>
      </c>
      <c r="AL58" s="1" t="b">
        <f>FALSE</f>
        <v>0</v>
      </c>
      <c r="AO58" s="56" t="e">
        <f t="shared" si="7"/>
        <v>#VALUE!</v>
      </c>
      <c r="AP58" s="56">
        <f t="shared" si="8"/>
        <v>0</v>
      </c>
      <c r="AQ58" s="56">
        <f t="shared" si="9"/>
        <v>0</v>
      </c>
      <c r="AT58" s="57">
        <f t="shared" si="10"/>
        <v>0</v>
      </c>
      <c r="AU58" s="1" t="b">
        <f t="shared" si="11"/>
        <v>0</v>
      </c>
    </row>
    <row r="59" spans="1:47" x14ac:dyDescent="0.3">
      <c r="A59" s="73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J59" s="60">
        <f t="shared" si="14"/>
        <v>100000</v>
      </c>
      <c r="AK59" s="60">
        <f t="shared" si="15"/>
        <v>100000</v>
      </c>
      <c r="AL59" s="1" t="b">
        <f>FALSE</f>
        <v>0</v>
      </c>
      <c r="AO59" s="56" t="e">
        <f t="shared" si="7"/>
        <v>#VALUE!</v>
      </c>
      <c r="AP59" s="56">
        <f t="shared" si="8"/>
        <v>0</v>
      </c>
      <c r="AQ59" s="56">
        <f t="shared" si="9"/>
        <v>0</v>
      </c>
      <c r="AT59" s="57">
        <f t="shared" si="10"/>
        <v>0</v>
      </c>
      <c r="AU59" s="1" t="b">
        <f t="shared" si="11"/>
        <v>0</v>
      </c>
    </row>
    <row r="60" spans="1:47" x14ac:dyDescent="0.3">
      <c r="A60" s="73"/>
      <c r="B60" s="68"/>
      <c r="C60" s="68"/>
      <c r="D60" s="68"/>
      <c r="E60" s="68"/>
      <c r="F60" s="68"/>
      <c r="G60" s="68"/>
      <c r="H60" s="68"/>
      <c r="I60" s="68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J60" s="60">
        <f t="shared" si="14"/>
        <v>100000</v>
      </c>
      <c r="AK60" s="60">
        <f t="shared" si="15"/>
        <v>100000</v>
      </c>
      <c r="AL60" s="1" t="b">
        <f>FALSE</f>
        <v>0</v>
      </c>
      <c r="AO60" s="56" t="e">
        <f t="shared" si="7"/>
        <v>#VALUE!</v>
      </c>
      <c r="AP60" s="56">
        <f t="shared" si="8"/>
        <v>0</v>
      </c>
      <c r="AQ60" s="56">
        <f t="shared" si="9"/>
        <v>0</v>
      </c>
      <c r="AT60" s="57">
        <f t="shared" si="10"/>
        <v>0</v>
      </c>
      <c r="AU60" s="1" t="b">
        <f t="shared" si="11"/>
        <v>0</v>
      </c>
    </row>
    <row r="61" spans="1:47" x14ac:dyDescent="0.3">
      <c r="A61" s="73"/>
      <c r="B61" s="68"/>
      <c r="C61" s="68"/>
      <c r="D61" s="68"/>
      <c r="E61" s="68"/>
      <c r="F61" s="68"/>
      <c r="G61" s="68"/>
      <c r="H61" s="68"/>
      <c r="I61" s="68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J61" s="60">
        <f t="shared" si="14"/>
        <v>100000</v>
      </c>
      <c r="AK61" s="60">
        <f t="shared" si="15"/>
        <v>100000</v>
      </c>
      <c r="AL61" s="1" t="b">
        <f>FALSE</f>
        <v>0</v>
      </c>
      <c r="AO61" s="56" t="e">
        <f t="shared" si="7"/>
        <v>#VALUE!</v>
      </c>
      <c r="AP61" s="56">
        <f t="shared" si="8"/>
        <v>0</v>
      </c>
      <c r="AQ61" s="56">
        <f t="shared" si="9"/>
        <v>0</v>
      </c>
      <c r="AT61" s="57">
        <f t="shared" si="10"/>
        <v>0</v>
      </c>
      <c r="AU61" s="1" t="b">
        <f t="shared" si="11"/>
        <v>0</v>
      </c>
    </row>
    <row r="62" spans="1:47" x14ac:dyDescent="0.3">
      <c r="A62" s="73"/>
      <c r="B62" s="68"/>
      <c r="C62" s="68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J62" s="60">
        <f t="shared" si="14"/>
        <v>100000</v>
      </c>
      <c r="AK62" s="60">
        <f t="shared" si="15"/>
        <v>100000</v>
      </c>
      <c r="AL62" s="1" t="b">
        <f>FALSE</f>
        <v>0</v>
      </c>
      <c r="AO62" s="56" t="e">
        <f t="shared" si="7"/>
        <v>#VALUE!</v>
      </c>
      <c r="AP62" s="56">
        <f t="shared" si="8"/>
        <v>0</v>
      </c>
      <c r="AQ62" s="56">
        <f t="shared" si="9"/>
        <v>0</v>
      </c>
      <c r="AT62" s="57">
        <f t="shared" si="10"/>
        <v>0</v>
      </c>
      <c r="AU62" s="1" t="b">
        <f t="shared" si="11"/>
        <v>0</v>
      </c>
    </row>
    <row r="63" spans="1:47" x14ac:dyDescent="0.3">
      <c r="A63" s="73"/>
      <c r="B63" s="68"/>
      <c r="C63" s="68"/>
      <c r="D63" s="68"/>
      <c r="E63" s="68"/>
      <c r="F63" s="68"/>
      <c r="G63" s="68"/>
      <c r="H63" s="68"/>
      <c r="I63" s="68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J63" s="60">
        <f t="shared" si="14"/>
        <v>100000</v>
      </c>
      <c r="AK63" s="60">
        <f t="shared" si="15"/>
        <v>100000</v>
      </c>
      <c r="AL63" s="1" t="b">
        <f>FALSE</f>
        <v>0</v>
      </c>
      <c r="AO63" s="56" t="e">
        <f t="shared" si="7"/>
        <v>#VALUE!</v>
      </c>
      <c r="AP63" s="56">
        <f t="shared" si="8"/>
        <v>0</v>
      </c>
      <c r="AQ63" s="56">
        <f t="shared" si="9"/>
        <v>0</v>
      </c>
      <c r="AT63" s="57">
        <f t="shared" si="10"/>
        <v>0</v>
      </c>
      <c r="AU63" s="1" t="b">
        <f t="shared" si="11"/>
        <v>0</v>
      </c>
    </row>
    <row r="64" spans="1:47" x14ac:dyDescent="0.3">
      <c r="A64" s="73"/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J64" s="60">
        <f t="shared" si="14"/>
        <v>100000</v>
      </c>
      <c r="AK64" s="60">
        <f t="shared" si="15"/>
        <v>100000</v>
      </c>
      <c r="AL64" s="1" t="b">
        <f>FALSE</f>
        <v>0</v>
      </c>
      <c r="AO64" s="56" t="e">
        <f t="shared" si="7"/>
        <v>#VALUE!</v>
      </c>
      <c r="AP64" s="56">
        <f t="shared" si="8"/>
        <v>0</v>
      </c>
      <c r="AQ64" s="56">
        <f t="shared" si="9"/>
        <v>0</v>
      </c>
      <c r="AT64" s="57">
        <f t="shared" si="10"/>
        <v>0</v>
      </c>
      <c r="AU64" s="1" t="b">
        <f t="shared" si="11"/>
        <v>0</v>
      </c>
    </row>
    <row r="65" spans="1:47" x14ac:dyDescent="0.3">
      <c r="A65" s="73"/>
      <c r="B65" s="68"/>
      <c r="C65" s="68"/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J65" s="60">
        <f t="shared" si="14"/>
        <v>100000</v>
      </c>
      <c r="AK65" s="60">
        <f t="shared" si="15"/>
        <v>100000</v>
      </c>
      <c r="AL65" s="1" t="b">
        <f>FALSE</f>
        <v>0</v>
      </c>
      <c r="AO65" s="56" t="e">
        <f t="shared" si="7"/>
        <v>#VALUE!</v>
      </c>
      <c r="AP65" s="56">
        <f t="shared" si="8"/>
        <v>0</v>
      </c>
      <c r="AQ65" s="56">
        <f t="shared" si="9"/>
        <v>0</v>
      </c>
      <c r="AT65" s="57">
        <f t="shared" si="10"/>
        <v>0</v>
      </c>
      <c r="AU65" s="1" t="b">
        <f t="shared" si="11"/>
        <v>0</v>
      </c>
    </row>
    <row r="66" spans="1:47" x14ac:dyDescent="0.3">
      <c r="A66" s="73"/>
      <c r="B66" s="68"/>
      <c r="C66" s="68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J66" s="60">
        <f t="shared" si="14"/>
        <v>100000</v>
      </c>
      <c r="AK66" s="60">
        <f t="shared" si="15"/>
        <v>100000</v>
      </c>
      <c r="AL66" s="1" t="b">
        <f>FALSE</f>
        <v>0</v>
      </c>
      <c r="AO66" s="56" t="e">
        <f t="shared" si="7"/>
        <v>#VALUE!</v>
      </c>
      <c r="AP66" s="56">
        <f t="shared" si="8"/>
        <v>0</v>
      </c>
      <c r="AQ66" s="56">
        <f t="shared" si="9"/>
        <v>0</v>
      </c>
      <c r="AT66" s="57">
        <f t="shared" si="10"/>
        <v>0</v>
      </c>
      <c r="AU66" s="1" t="b">
        <f t="shared" si="11"/>
        <v>0</v>
      </c>
    </row>
    <row r="67" spans="1:47" x14ac:dyDescent="0.3">
      <c r="A67" s="73"/>
      <c r="B67" s="68"/>
      <c r="C67" s="68"/>
      <c r="D67" s="68"/>
      <c r="E67" s="68"/>
      <c r="F67" s="68"/>
      <c r="G67" s="68"/>
      <c r="H67" s="68"/>
      <c r="I67" s="68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J67" s="60">
        <f t="shared" si="14"/>
        <v>100000</v>
      </c>
      <c r="AK67" s="60">
        <f t="shared" si="15"/>
        <v>100000</v>
      </c>
      <c r="AL67" s="1" t="b">
        <f>FALSE</f>
        <v>0</v>
      </c>
      <c r="AO67" s="56" t="e">
        <f t="shared" si="7"/>
        <v>#VALUE!</v>
      </c>
      <c r="AP67" s="56">
        <f t="shared" si="8"/>
        <v>0</v>
      </c>
      <c r="AQ67" s="56">
        <f t="shared" si="9"/>
        <v>0</v>
      </c>
      <c r="AT67" s="57">
        <f t="shared" si="10"/>
        <v>0</v>
      </c>
      <c r="AU67" s="1" t="b">
        <f t="shared" si="11"/>
        <v>0</v>
      </c>
    </row>
    <row r="68" spans="1:47" x14ac:dyDescent="0.3">
      <c r="A68" s="73"/>
      <c r="B68" s="68"/>
      <c r="C68" s="68"/>
      <c r="D68" s="68"/>
      <c r="E68" s="68"/>
      <c r="F68" s="68"/>
      <c r="G68" s="68"/>
      <c r="H68" s="68"/>
      <c r="I68" s="68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J68" s="60">
        <f t="shared" si="14"/>
        <v>100000</v>
      </c>
      <c r="AK68" s="60">
        <f t="shared" si="15"/>
        <v>100000</v>
      </c>
      <c r="AL68" s="1" t="b">
        <f>FALSE</f>
        <v>0</v>
      </c>
      <c r="AO68" s="56" t="e">
        <f t="shared" si="7"/>
        <v>#VALUE!</v>
      </c>
      <c r="AP68" s="56">
        <f t="shared" si="8"/>
        <v>0</v>
      </c>
      <c r="AQ68" s="56">
        <f t="shared" si="9"/>
        <v>0</v>
      </c>
      <c r="AT68" s="57">
        <f t="shared" si="10"/>
        <v>0</v>
      </c>
      <c r="AU68" s="1" t="b">
        <f t="shared" si="11"/>
        <v>0</v>
      </c>
    </row>
    <row r="69" spans="1:47" x14ac:dyDescent="0.3">
      <c r="A69" s="73"/>
      <c r="B69" s="68"/>
      <c r="C69" s="68"/>
      <c r="D69" s="68"/>
      <c r="E69" s="68"/>
      <c r="F69" s="68"/>
      <c r="G69" s="68"/>
      <c r="H69" s="68"/>
      <c r="I69" s="68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J69" s="60">
        <f t="shared" si="14"/>
        <v>100000</v>
      </c>
      <c r="AK69" s="60">
        <f t="shared" si="15"/>
        <v>100000</v>
      </c>
      <c r="AL69" s="1" t="b">
        <f>FALSE</f>
        <v>0</v>
      </c>
      <c r="AO69" s="56" t="e">
        <f t="shared" si="7"/>
        <v>#VALUE!</v>
      </c>
      <c r="AP69" s="56">
        <f t="shared" si="8"/>
        <v>0</v>
      </c>
      <c r="AQ69" s="56">
        <f t="shared" si="9"/>
        <v>0</v>
      </c>
      <c r="AT69" s="57">
        <f t="shared" si="10"/>
        <v>0</v>
      </c>
      <c r="AU69" s="1" t="b">
        <f t="shared" si="11"/>
        <v>0</v>
      </c>
    </row>
    <row r="70" spans="1:47" x14ac:dyDescent="0.3">
      <c r="A70" s="73"/>
      <c r="B70" s="68"/>
      <c r="C70" s="68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J70" s="60">
        <f t="shared" si="14"/>
        <v>100000</v>
      </c>
      <c r="AK70" s="60">
        <f t="shared" si="15"/>
        <v>100000</v>
      </c>
      <c r="AL70" s="1" t="b">
        <f>FALSE</f>
        <v>0</v>
      </c>
      <c r="AO70" s="56" t="e">
        <f t="shared" si="7"/>
        <v>#VALUE!</v>
      </c>
      <c r="AP70" s="56">
        <f t="shared" si="8"/>
        <v>0</v>
      </c>
      <c r="AQ70" s="56">
        <f t="shared" si="9"/>
        <v>0</v>
      </c>
      <c r="AT70" s="57">
        <f t="shared" si="10"/>
        <v>0</v>
      </c>
      <c r="AU70" s="1" t="b">
        <f t="shared" si="11"/>
        <v>0</v>
      </c>
    </row>
    <row r="71" spans="1:47" x14ac:dyDescent="0.3">
      <c r="A71" s="73"/>
      <c r="B71" s="68"/>
      <c r="C71" s="68"/>
      <c r="D71" s="68"/>
      <c r="E71" s="68"/>
      <c r="F71" s="68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J71" s="60">
        <f t="shared" si="14"/>
        <v>100000</v>
      </c>
      <c r="AK71" s="60">
        <f t="shared" si="15"/>
        <v>100000</v>
      </c>
      <c r="AL71" s="1" t="b">
        <f>FALSE</f>
        <v>0</v>
      </c>
      <c r="AO71" s="56" t="e">
        <f t="shared" si="7"/>
        <v>#VALUE!</v>
      </c>
      <c r="AP71" s="56">
        <f t="shared" si="8"/>
        <v>0</v>
      </c>
      <c r="AQ71" s="56">
        <f t="shared" si="9"/>
        <v>0</v>
      </c>
      <c r="AT71" s="57">
        <f t="shared" si="10"/>
        <v>0</v>
      </c>
      <c r="AU71" s="1" t="b">
        <f t="shared" si="11"/>
        <v>0</v>
      </c>
    </row>
    <row r="72" spans="1:47" x14ac:dyDescent="0.3">
      <c r="A72" s="73"/>
      <c r="B72" s="68"/>
      <c r="C72" s="68"/>
      <c r="D72" s="68"/>
      <c r="E72" s="68"/>
      <c r="F72" s="68"/>
      <c r="G72" s="68"/>
      <c r="H72" s="68"/>
      <c r="I72" s="68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J72" s="60">
        <f t="shared" si="14"/>
        <v>100000</v>
      </c>
      <c r="AK72" s="60">
        <f t="shared" si="15"/>
        <v>100000</v>
      </c>
      <c r="AL72" s="1" t="b">
        <f>FALSE</f>
        <v>0</v>
      </c>
      <c r="AO72" s="56" t="e">
        <f t="shared" si="7"/>
        <v>#VALUE!</v>
      </c>
      <c r="AP72" s="56">
        <f t="shared" si="8"/>
        <v>0</v>
      </c>
      <c r="AQ72" s="56">
        <f t="shared" si="9"/>
        <v>0</v>
      </c>
      <c r="AT72" s="57">
        <f t="shared" si="10"/>
        <v>0</v>
      </c>
      <c r="AU72" s="1" t="b">
        <f t="shared" si="11"/>
        <v>0</v>
      </c>
    </row>
    <row r="73" spans="1:47" x14ac:dyDescent="0.3">
      <c r="A73" s="73"/>
      <c r="B73" s="68"/>
      <c r="C73" s="68"/>
      <c r="D73" s="68"/>
      <c r="E73" s="68"/>
      <c r="F73" s="68"/>
      <c r="G73" s="68"/>
      <c r="H73" s="68"/>
      <c r="I73" s="68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J73" s="60">
        <f t="shared" si="14"/>
        <v>100000</v>
      </c>
      <c r="AK73" s="60">
        <f t="shared" si="15"/>
        <v>100000</v>
      </c>
      <c r="AL73" s="1" t="b">
        <f>FALSE</f>
        <v>0</v>
      </c>
      <c r="AO73" s="56" t="e">
        <f t="shared" si="7"/>
        <v>#VALUE!</v>
      </c>
      <c r="AP73" s="56">
        <f t="shared" si="8"/>
        <v>0</v>
      </c>
      <c r="AQ73" s="56">
        <f t="shared" si="9"/>
        <v>0</v>
      </c>
      <c r="AT73" s="57">
        <f t="shared" si="10"/>
        <v>0</v>
      </c>
      <c r="AU73" s="1" t="b">
        <f t="shared" si="11"/>
        <v>0</v>
      </c>
    </row>
    <row r="74" spans="1:47" x14ac:dyDescent="0.3">
      <c r="A74" s="73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J74" s="60">
        <f t="shared" si="14"/>
        <v>100000</v>
      </c>
      <c r="AK74" s="60">
        <f t="shared" si="15"/>
        <v>100000</v>
      </c>
      <c r="AL74" s="1" t="b">
        <f>FALSE</f>
        <v>0</v>
      </c>
      <c r="AO74" s="56" t="e">
        <f t="shared" si="7"/>
        <v>#VALUE!</v>
      </c>
      <c r="AP74" s="56">
        <f t="shared" si="8"/>
        <v>0</v>
      </c>
      <c r="AQ74" s="56">
        <f t="shared" si="9"/>
        <v>0</v>
      </c>
      <c r="AT74" s="57">
        <f t="shared" si="10"/>
        <v>0</v>
      </c>
      <c r="AU74" s="1" t="b">
        <f t="shared" si="11"/>
        <v>0</v>
      </c>
    </row>
    <row r="75" spans="1:47" x14ac:dyDescent="0.3">
      <c r="A75" s="73"/>
      <c r="B75" s="68"/>
      <c r="C75" s="68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J75" s="60">
        <f t="shared" si="14"/>
        <v>100000</v>
      </c>
      <c r="AK75" s="60">
        <f t="shared" si="15"/>
        <v>100000</v>
      </c>
      <c r="AL75" s="1" t="b">
        <f>FALSE</f>
        <v>0</v>
      </c>
      <c r="AO75" s="56" t="e">
        <f t="shared" si="7"/>
        <v>#VALUE!</v>
      </c>
      <c r="AP75" s="56">
        <f t="shared" si="8"/>
        <v>0</v>
      </c>
      <c r="AQ75" s="56">
        <f t="shared" si="9"/>
        <v>0</v>
      </c>
      <c r="AT75" s="57">
        <f t="shared" si="10"/>
        <v>0</v>
      </c>
      <c r="AU75" s="1" t="b">
        <f t="shared" si="11"/>
        <v>0</v>
      </c>
    </row>
    <row r="76" spans="1:47" x14ac:dyDescent="0.3">
      <c r="A76" s="73"/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J76" s="60">
        <f t="shared" si="14"/>
        <v>100000</v>
      </c>
      <c r="AK76" s="60">
        <f t="shared" si="15"/>
        <v>100000</v>
      </c>
      <c r="AL76" s="1" t="b">
        <f>FALSE</f>
        <v>0</v>
      </c>
      <c r="AO76" s="56" t="e">
        <f t="shared" si="7"/>
        <v>#VALUE!</v>
      </c>
      <c r="AP76" s="56">
        <f t="shared" si="8"/>
        <v>0</v>
      </c>
      <c r="AQ76" s="56">
        <f t="shared" si="9"/>
        <v>0</v>
      </c>
      <c r="AT76" s="57">
        <f t="shared" si="10"/>
        <v>0</v>
      </c>
      <c r="AU76" s="1" t="b">
        <f t="shared" si="11"/>
        <v>0</v>
      </c>
    </row>
    <row r="77" spans="1:47" x14ac:dyDescent="0.3">
      <c r="A77" s="73"/>
      <c r="B77" s="68"/>
      <c r="C77" s="68"/>
      <c r="D77" s="68"/>
      <c r="E77" s="68"/>
      <c r="F77" s="68"/>
      <c r="G77" s="68"/>
      <c r="H77" s="68"/>
      <c r="I77" s="68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J77" s="60">
        <f t="shared" si="14"/>
        <v>100000</v>
      </c>
      <c r="AK77" s="60">
        <f t="shared" si="15"/>
        <v>100000</v>
      </c>
      <c r="AL77" s="1" t="b">
        <f>FALSE</f>
        <v>0</v>
      </c>
      <c r="AO77" s="56" t="e">
        <f t="shared" si="7"/>
        <v>#VALUE!</v>
      </c>
      <c r="AP77" s="56">
        <f t="shared" si="8"/>
        <v>0</v>
      </c>
      <c r="AQ77" s="56">
        <f t="shared" si="9"/>
        <v>0</v>
      </c>
      <c r="AT77" s="57">
        <f t="shared" si="10"/>
        <v>0</v>
      </c>
      <c r="AU77" s="1" t="b">
        <f t="shared" si="11"/>
        <v>0</v>
      </c>
    </row>
    <row r="78" spans="1:47" x14ac:dyDescent="0.3">
      <c r="A78" s="73"/>
      <c r="B78" s="68"/>
      <c r="C78" s="68"/>
      <c r="D78" s="68"/>
      <c r="E78" s="68"/>
      <c r="F78" s="68"/>
      <c r="G78" s="68"/>
      <c r="H78" s="68"/>
      <c r="I78" s="68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J78" s="60">
        <f t="shared" si="14"/>
        <v>100000</v>
      </c>
      <c r="AK78" s="60">
        <f t="shared" si="15"/>
        <v>100000</v>
      </c>
      <c r="AL78" s="1" t="b">
        <f>FALSE</f>
        <v>0</v>
      </c>
      <c r="AO78" s="56" t="e">
        <f t="shared" si="7"/>
        <v>#VALUE!</v>
      </c>
      <c r="AP78" s="56">
        <f t="shared" si="8"/>
        <v>0</v>
      </c>
      <c r="AQ78" s="56">
        <f t="shared" si="9"/>
        <v>0</v>
      </c>
      <c r="AT78" s="57">
        <f t="shared" si="10"/>
        <v>0</v>
      </c>
      <c r="AU78" s="1" t="b">
        <f t="shared" si="11"/>
        <v>0</v>
      </c>
    </row>
    <row r="79" spans="1:47" x14ac:dyDescent="0.3">
      <c r="A79" s="73"/>
      <c r="B79" s="68"/>
      <c r="C79" s="68"/>
      <c r="D79" s="68"/>
      <c r="E79" s="68"/>
      <c r="F79" s="68"/>
      <c r="G79" s="68"/>
      <c r="H79" s="68"/>
      <c r="I79" s="68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J79" s="60">
        <f t="shared" si="14"/>
        <v>100000</v>
      </c>
      <c r="AK79" s="60">
        <f t="shared" si="15"/>
        <v>100000</v>
      </c>
      <c r="AL79" s="1" t="b">
        <f>FALSE</f>
        <v>0</v>
      </c>
      <c r="AO79" s="56" t="e">
        <f t="shared" si="7"/>
        <v>#VALUE!</v>
      </c>
      <c r="AP79" s="56">
        <f t="shared" si="8"/>
        <v>0</v>
      </c>
      <c r="AQ79" s="56">
        <f t="shared" si="9"/>
        <v>0</v>
      </c>
      <c r="AT79" s="57">
        <f t="shared" si="10"/>
        <v>0</v>
      </c>
      <c r="AU79" s="1" t="b">
        <f t="shared" si="11"/>
        <v>0</v>
      </c>
    </row>
    <row r="80" spans="1:47" x14ac:dyDescent="0.3">
      <c r="A80" s="73"/>
      <c r="B80" s="68"/>
      <c r="C80" s="68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J80" s="60">
        <f t="shared" si="14"/>
        <v>100000</v>
      </c>
      <c r="AK80" s="60">
        <f t="shared" si="15"/>
        <v>100000</v>
      </c>
      <c r="AL80" s="1" t="b">
        <f>FALSE</f>
        <v>0</v>
      </c>
      <c r="AO80" s="56" t="e">
        <f t="shared" si="7"/>
        <v>#VALUE!</v>
      </c>
      <c r="AP80" s="56">
        <f t="shared" si="8"/>
        <v>0</v>
      </c>
      <c r="AQ80" s="56">
        <f t="shared" si="9"/>
        <v>0</v>
      </c>
      <c r="AT80" s="57">
        <f t="shared" si="10"/>
        <v>0</v>
      </c>
      <c r="AU80" s="1" t="b">
        <f t="shared" si="11"/>
        <v>0</v>
      </c>
    </row>
    <row r="81" spans="1:47" x14ac:dyDescent="0.3">
      <c r="A81" s="73"/>
      <c r="B81" s="68"/>
      <c r="C81" s="68"/>
      <c r="D81" s="68"/>
      <c r="E81" s="68"/>
      <c r="F81" s="68"/>
      <c r="G81" s="68"/>
      <c r="H81" s="68"/>
      <c r="I81" s="68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J81" s="60">
        <f t="shared" si="14"/>
        <v>100000</v>
      </c>
      <c r="AK81" s="60">
        <f t="shared" si="15"/>
        <v>100000</v>
      </c>
      <c r="AL81" s="1" t="b">
        <f>FALSE</f>
        <v>0</v>
      </c>
      <c r="AO81" s="56" t="e">
        <f t="shared" si="7"/>
        <v>#VALUE!</v>
      </c>
      <c r="AP81" s="56">
        <f t="shared" si="8"/>
        <v>0</v>
      </c>
      <c r="AQ81" s="56">
        <f t="shared" si="9"/>
        <v>0</v>
      </c>
      <c r="AT81" s="57">
        <f t="shared" si="10"/>
        <v>0</v>
      </c>
      <c r="AU81" s="1" t="b">
        <f t="shared" si="11"/>
        <v>0</v>
      </c>
    </row>
    <row r="82" spans="1:47" x14ac:dyDescent="0.3">
      <c r="A82" s="73"/>
      <c r="B82" s="68"/>
      <c r="C82" s="68"/>
      <c r="D82" s="68"/>
      <c r="E82" s="68"/>
      <c r="F82" s="68"/>
      <c r="G82" s="68"/>
      <c r="H82" s="68"/>
      <c r="I82" s="68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J82" s="60">
        <f t="shared" si="14"/>
        <v>100000</v>
      </c>
      <c r="AK82" s="60">
        <f t="shared" si="15"/>
        <v>100000</v>
      </c>
      <c r="AL82" s="1" t="b">
        <f>FALSE</f>
        <v>0</v>
      </c>
      <c r="AO82" s="56" t="e">
        <f t="shared" si="7"/>
        <v>#VALUE!</v>
      </c>
      <c r="AP82" s="56">
        <f t="shared" si="8"/>
        <v>0</v>
      </c>
      <c r="AQ82" s="56">
        <f t="shared" si="9"/>
        <v>0</v>
      </c>
      <c r="AT82" s="57">
        <f t="shared" si="10"/>
        <v>0</v>
      </c>
      <c r="AU82" s="1" t="b">
        <f t="shared" si="11"/>
        <v>0</v>
      </c>
    </row>
    <row r="83" spans="1:47" x14ac:dyDescent="0.3">
      <c r="A83" s="73"/>
      <c r="B83" s="68"/>
      <c r="C83" s="68"/>
      <c r="D83" s="68"/>
      <c r="E83" s="68"/>
      <c r="F83" s="68"/>
      <c r="G83" s="68"/>
      <c r="H83" s="68"/>
      <c r="I83" s="68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J83" s="60">
        <f t="shared" si="14"/>
        <v>100000</v>
      </c>
      <c r="AK83" s="60">
        <f t="shared" si="15"/>
        <v>100000</v>
      </c>
      <c r="AL83" s="1" t="b">
        <f>FALSE</f>
        <v>0</v>
      </c>
      <c r="AO83" s="56" t="e">
        <f t="shared" si="7"/>
        <v>#VALUE!</v>
      </c>
      <c r="AP83" s="56">
        <f t="shared" si="8"/>
        <v>0</v>
      </c>
      <c r="AQ83" s="56">
        <f t="shared" si="9"/>
        <v>0</v>
      </c>
      <c r="AT83" s="57">
        <f t="shared" si="10"/>
        <v>0</v>
      </c>
      <c r="AU83" s="1" t="b">
        <f t="shared" si="11"/>
        <v>0</v>
      </c>
    </row>
    <row r="84" spans="1:47" x14ac:dyDescent="0.3">
      <c r="A84" s="73"/>
      <c r="B84" s="68"/>
      <c r="C84" s="68"/>
      <c r="D84" s="68"/>
      <c r="E84" s="68"/>
      <c r="F84" s="68"/>
      <c r="G84" s="68"/>
      <c r="H84" s="68"/>
      <c r="I84" s="68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J84" s="60">
        <f t="shared" ref="AJ84:AJ107" si="16">IF(INDEX(currentSTATION,ROW(A65),COLUMN(A65))&lt;&gt;0,INDEX(currentSTATION,ROW(A65),COLUMN(A65)),100000)</f>
        <v>100000</v>
      </c>
      <c r="AK84" s="60">
        <f t="shared" ref="AK84:AK107" si="17">IF(INDEX(currentEL,ROW(A65),COLUMN(A65))&lt;&gt;0,INDEX(currentEL,ROW(A65),COLUMN(A65)),100000)</f>
        <v>100000</v>
      </c>
      <c r="AL84" s="1" t="b">
        <f>FALSE</f>
        <v>0</v>
      </c>
      <c r="AO84" s="56" t="e">
        <f t="shared" si="7"/>
        <v>#VALUE!</v>
      </c>
      <c r="AP84" s="56">
        <f t="shared" si="8"/>
        <v>0</v>
      </c>
      <c r="AQ84" s="56">
        <f t="shared" si="9"/>
        <v>0</v>
      </c>
      <c r="AT84" s="57">
        <f t="shared" si="10"/>
        <v>0</v>
      </c>
      <c r="AU84" s="1" t="b">
        <f t="shared" si="11"/>
        <v>0</v>
      </c>
    </row>
    <row r="85" spans="1:47" x14ac:dyDescent="0.3">
      <c r="A85" s="73"/>
      <c r="B85" s="68"/>
      <c r="C85" s="68"/>
      <c r="D85" s="68"/>
      <c r="E85" s="68"/>
      <c r="F85" s="68"/>
      <c r="G85" s="68"/>
      <c r="H85" s="68"/>
      <c r="I85" s="68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J85" s="60">
        <f t="shared" si="16"/>
        <v>100000</v>
      </c>
      <c r="AK85" s="60">
        <f t="shared" si="17"/>
        <v>100000</v>
      </c>
      <c r="AL85" s="1" t="b">
        <f>FALSE</f>
        <v>0</v>
      </c>
      <c r="AO85" s="56" t="e">
        <f t="shared" si="7"/>
        <v>#VALUE!</v>
      </c>
      <c r="AP85" s="56">
        <f t="shared" si="8"/>
        <v>0</v>
      </c>
      <c r="AQ85" s="56">
        <f t="shared" si="9"/>
        <v>0</v>
      </c>
      <c r="AT85" s="57">
        <f t="shared" si="10"/>
        <v>0</v>
      </c>
      <c r="AU85" s="1" t="b">
        <f t="shared" si="11"/>
        <v>0</v>
      </c>
    </row>
    <row r="86" spans="1:47" x14ac:dyDescent="0.3">
      <c r="A86" s="73"/>
      <c r="B86" s="68"/>
      <c r="C86" s="68"/>
      <c r="D86" s="68"/>
      <c r="E86" s="68"/>
      <c r="F86" s="68"/>
      <c r="G86" s="68"/>
      <c r="H86" s="68"/>
      <c r="I86" s="68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J86" s="60">
        <f t="shared" si="16"/>
        <v>100000</v>
      </c>
      <c r="AK86" s="60">
        <f t="shared" si="17"/>
        <v>100000</v>
      </c>
      <c r="AL86" s="1" t="b">
        <f>FALSE</f>
        <v>0</v>
      </c>
      <c r="AO86" s="56" t="e">
        <f t="shared" ref="AO86:AO107" si="18">IF(AL85=FALSE,IF(AL86=FALSE,IF(ISNA(AK86),0,IF(AK85&lt;AN$19,IF(AK86&lt;AN$19,(AN$19-(AK85+AK86)*0.5)*AP86,(AN$19-AK85)*0.5*AP86),IF(AK86&lt;AN$19,(AN$19-AK86)*0.5*AP86,0))),0),0)</f>
        <v>#VALUE!</v>
      </c>
      <c r="AP86" s="56">
        <f t="shared" ref="AP86:AP107" si="19">IF(AJ86&lt;AJ85,-1,1)*(IF(AL85=FALSE,IF(AL86=FALSE,IF(ISBLANK(AK86),0,IF(AK85&lt;AN$19,IF(AK86&lt;AN$19,((AJ86-AJ85)^2)^0.5,(((AN$19-AK85)*(AJ86-AJ85)/(AK86-AK85))^2)^0.5),IF(AK86&lt;AN$19,(((AN$19-AK86)*(AJ86-AJ85)/(AK85-AK86))^2)^0.5,0))),0),0))</f>
        <v>0</v>
      </c>
      <c r="AQ86" s="56">
        <f t="shared" ref="AQ86:AQ107" si="20">IF(AL85=FALSE,IF(AL86=FALSE,IF(ISBLANK(AK86),0,IF(AK85&lt;AN$19,IF(AK86&lt;AN$19,(AP86^2+(AK86-AK85)^2)^0.5,(AP86^2+(AN$19-AK85)^2)^0.5),IF(AK86&lt;AN$19,(AP86^2+(AN$19-AK86)^2)^0.5,0))),0),0)</f>
        <v>0</v>
      </c>
      <c r="AT86" s="57">
        <f t="shared" ref="AT86:AT107" si="21">IF(AU86,IF(ISBLANK(AK86),0,IF(AJ86&lt;AJ85,-1,1)*(IF(ISBLANK(AK86),0,IF(AK85&lt;J$13,IF(AK86&lt;J$13,((AJ86-AJ85)^2)^0.5,(((J$13-AK85)*(AJ86-AJ85)/(AK86-AK85))^2)^0.5),IF(AK86&lt;J$13,(((J$13-AK86)*(AJ86-AJ85)/(AK85-AK86))^2)^0.5,0))))),0)</f>
        <v>0</v>
      </c>
      <c r="AU86" s="1" t="b">
        <f t="shared" ref="AU86:AU107" si="22">IF(AK86=100000,FALSE,TRUE)</f>
        <v>0</v>
      </c>
    </row>
    <row r="87" spans="1:47" x14ac:dyDescent="0.3">
      <c r="A87" s="73"/>
      <c r="B87" s="68"/>
      <c r="C87" s="68"/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J87" s="60">
        <f t="shared" si="16"/>
        <v>100000</v>
      </c>
      <c r="AK87" s="60">
        <f t="shared" si="17"/>
        <v>100000</v>
      </c>
      <c r="AL87" s="1" t="b">
        <f>FALSE</f>
        <v>0</v>
      </c>
      <c r="AO87" s="56" t="e">
        <f t="shared" si="18"/>
        <v>#VALUE!</v>
      </c>
      <c r="AP87" s="56">
        <f t="shared" si="19"/>
        <v>0</v>
      </c>
      <c r="AQ87" s="56">
        <f t="shared" si="20"/>
        <v>0</v>
      </c>
      <c r="AT87" s="57">
        <f t="shared" si="21"/>
        <v>0</v>
      </c>
      <c r="AU87" s="1" t="b">
        <f t="shared" si="22"/>
        <v>0</v>
      </c>
    </row>
    <row r="88" spans="1:47" x14ac:dyDescent="0.3">
      <c r="A88" s="73"/>
      <c r="B88" s="68"/>
      <c r="C88" s="68"/>
      <c r="D88" s="68"/>
      <c r="E88" s="68"/>
      <c r="F88" s="68"/>
      <c r="G88" s="68"/>
      <c r="H88" s="68"/>
      <c r="I88" s="68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J88" s="60">
        <f t="shared" si="16"/>
        <v>100000</v>
      </c>
      <c r="AK88" s="60">
        <f t="shared" si="17"/>
        <v>100000</v>
      </c>
      <c r="AL88" s="1" t="b">
        <f>FALSE</f>
        <v>0</v>
      </c>
      <c r="AO88" s="56" t="e">
        <f t="shared" si="18"/>
        <v>#VALUE!</v>
      </c>
      <c r="AP88" s="56">
        <f t="shared" si="19"/>
        <v>0</v>
      </c>
      <c r="AQ88" s="56">
        <f t="shared" si="20"/>
        <v>0</v>
      </c>
      <c r="AT88" s="57">
        <f t="shared" si="21"/>
        <v>0</v>
      </c>
      <c r="AU88" s="1" t="b">
        <f t="shared" si="22"/>
        <v>0</v>
      </c>
    </row>
    <row r="89" spans="1:47" x14ac:dyDescent="0.3">
      <c r="A89" s="73"/>
      <c r="B89" s="68"/>
      <c r="C89" s="68"/>
      <c r="D89" s="68"/>
      <c r="E89" s="68"/>
      <c r="F89" s="68"/>
      <c r="G89" s="68"/>
      <c r="H89" s="68"/>
      <c r="I89" s="68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J89" s="60">
        <f t="shared" si="16"/>
        <v>100000</v>
      </c>
      <c r="AK89" s="60">
        <f t="shared" si="17"/>
        <v>100000</v>
      </c>
      <c r="AL89" s="1" t="b">
        <f>FALSE</f>
        <v>0</v>
      </c>
      <c r="AO89" s="56" t="e">
        <f t="shared" si="18"/>
        <v>#VALUE!</v>
      </c>
      <c r="AP89" s="56">
        <f t="shared" si="19"/>
        <v>0</v>
      </c>
      <c r="AQ89" s="56">
        <f t="shared" si="20"/>
        <v>0</v>
      </c>
      <c r="AT89" s="57">
        <f t="shared" si="21"/>
        <v>0</v>
      </c>
      <c r="AU89" s="1" t="b">
        <f t="shared" si="22"/>
        <v>0</v>
      </c>
    </row>
    <row r="90" spans="1:47" x14ac:dyDescent="0.3">
      <c r="A90" s="73"/>
      <c r="B90" s="68"/>
      <c r="C90" s="68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J90" s="60">
        <f t="shared" si="16"/>
        <v>100000</v>
      </c>
      <c r="AK90" s="60">
        <f t="shared" si="17"/>
        <v>100000</v>
      </c>
      <c r="AL90" s="1" t="b">
        <f>FALSE</f>
        <v>0</v>
      </c>
      <c r="AO90" s="56" t="e">
        <f t="shared" si="18"/>
        <v>#VALUE!</v>
      </c>
      <c r="AP90" s="56">
        <f t="shared" si="19"/>
        <v>0</v>
      </c>
      <c r="AQ90" s="56">
        <f t="shared" si="20"/>
        <v>0</v>
      </c>
      <c r="AT90" s="57">
        <f t="shared" si="21"/>
        <v>0</v>
      </c>
      <c r="AU90" s="1" t="b">
        <f t="shared" si="22"/>
        <v>0</v>
      </c>
    </row>
    <row r="91" spans="1:47" x14ac:dyDescent="0.3">
      <c r="A91" s="73"/>
      <c r="B91" s="68"/>
      <c r="C91" s="68"/>
      <c r="D91" s="68"/>
      <c r="E91" s="68"/>
      <c r="F91" s="68"/>
      <c r="G91" s="68"/>
      <c r="H91" s="68"/>
      <c r="I91" s="68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J91" s="60">
        <f t="shared" si="16"/>
        <v>100000</v>
      </c>
      <c r="AK91" s="60">
        <f t="shared" si="17"/>
        <v>100000</v>
      </c>
      <c r="AL91" s="1" t="b">
        <f>FALSE</f>
        <v>0</v>
      </c>
      <c r="AO91" s="56" t="e">
        <f t="shared" si="18"/>
        <v>#VALUE!</v>
      </c>
      <c r="AP91" s="56">
        <f t="shared" si="19"/>
        <v>0</v>
      </c>
      <c r="AQ91" s="56">
        <f t="shared" si="20"/>
        <v>0</v>
      </c>
      <c r="AT91" s="57">
        <f t="shared" si="21"/>
        <v>0</v>
      </c>
      <c r="AU91" s="1" t="b">
        <f t="shared" si="22"/>
        <v>0</v>
      </c>
    </row>
    <row r="92" spans="1:47" x14ac:dyDescent="0.3">
      <c r="A92" s="73"/>
      <c r="B92" s="68"/>
      <c r="C92" s="68"/>
      <c r="D92" s="68"/>
      <c r="E92" s="68"/>
      <c r="F92" s="68"/>
      <c r="G92" s="68"/>
      <c r="H92" s="68"/>
      <c r="I92" s="68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J92" s="60">
        <f t="shared" si="16"/>
        <v>100000</v>
      </c>
      <c r="AK92" s="60">
        <f t="shared" si="17"/>
        <v>100000</v>
      </c>
      <c r="AL92" s="1" t="b">
        <f>FALSE</f>
        <v>0</v>
      </c>
      <c r="AO92" s="56" t="e">
        <f t="shared" si="18"/>
        <v>#VALUE!</v>
      </c>
      <c r="AP92" s="56">
        <f t="shared" si="19"/>
        <v>0</v>
      </c>
      <c r="AQ92" s="56">
        <f t="shared" si="20"/>
        <v>0</v>
      </c>
      <c r="AT92" s="57">
        <f t="shared" si="21"/>
        <v>0</v>
      </c>
      <c r="AU92" s="1" t="b">
        <f t="shared" si="22"/>
        <v>0</v>
      </c>
    </row>
    <row r="93" spans="1:47" x14ac:dyDescent="0.3">
      <c r="A93" s="73"/>
      <c r="B93" s="68"/>
      <c r="C93" s="68"/>
      <c r="D93" s="68"/>
      <c r="E93" s="68"/>
      <c r="F93" s="68"/>
      <c r="G93" s="68"/>
      <c r="H93" s="68"/>
      <c r="I93" s="68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J93" s="60">
        <f t="shared" si="16"/>
        <v>100000</v>
      </c>
      <c r="AK93" s="60">
        <f t="shared" si="17"/>
        <v>100000</v>
      </c>
      <c r="AL93" s="1" t="b">
        <f>FALSE</f>
        <v>0</v>
      </c>
      <c r="AO93" s="56" t="e">
        <f t="shared" si="18"/>
        <v>#VALUE!</v>
      </c>
      <c r="AP93" s="56">
        <f t="shared" si="19"/>
        <v>0</v>
      </c>
      <c r="AQ93" s="56">
        <f t="shared" si="20"/>
        <v>0</v>
      </c>
      <c r="AT93" s="57">
        <f t="shared" si="21"/>
        <v>0</v>
      </c>
      <c r="AU93" s="1" t="b">
        <f t="shared" si="22"/>
        <v>0</v>
      </c>
    </row>
    <row r="94" spans="1:47" x14ac:dyDescent="0.3">
      <c r="A94" s="73"/>
      <c r="B94" s="68"/>
      <c r="C94" s="68"/>
      <c r="D94" s="68"/>
      <c r="E94" s="68"/>
      <c r="F94" s="68"/>
      <c r="G94" s="68"/>
      <c r="H94" s="68"/>
      <c r="I94" s="68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J94" s="60">
        <f t="shared" si="16"/>
        <v>100000</v>
      </c>
      <c r="AK94" s="60">
        <f t="shared" si="17"/>
        <v>100000</v>
      </c>
      <c r="AL94" s="1" t="b">
        <f>FALSE</f>
        <v>0</v>
      </c>
      <c r="AO94" s="56" t="e">
        <f t="shared" si="18"/>
        <v>#VALUE!</v>
      </c>
      <c r="AP94" s="56">
        <f t="shared" si="19"/>
        <v>0</v>
      </c>
      <c r="AQ94" s="56">
        <f t="shared" si="20"/>
        <v>0</v>
      </c>
      <c r="AT94" s="57">
        <f t="shared" si="21"/>
        <v>0</v>
      </c>
      <c r="AU94" s="1" t="b">
        <f t="shared" si="22"/>
        <v>0</v>
      </c>
    </row>
    <row r="95" spans="1:47" x14ac:dyDescent="0.3">
      <c r="A95" s="73"/>
      <c r="B95" s="68"/>
      <c r="C95" s="68"/>
      <c r="D95" s="68"/>
      <c r="E95" s="68"/>
      <c r="F95" s="68"/>
      <c r="G95" s="68"/>
      <c r="H95" s="68"/>
      <c r="I95" s="68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J95" s="60">
        <f t="shared" si="16"/>
        <v>100000</v>
      </c>
      <c r="AK95" s="60">
        <f t="shared" si="17"/>
        <v>100000</v>
      </c>
      <c r="AL95" s="1" t="b">
        <f>FALSE</f>
        <v>0</v>
      </c>
      <c r="AO95" s="56" t="e">
        <f t="shared" si="18"/>
        <v>#VALUE!</v>
      </c>
      <c r="AP95" s="56">
        <f t="shared" si="19"/>
        <v>0</v>
      </c>
      <c r="AQ95" s="56">
        <f t="shared" si="20"/>
        <v>0</v>
      </c>
      <c r="AT95" s="57">
        <f t="shared" si="21"/>
        <v>0</v>
      </c>
      <c r="AU95" s="1" t="b">
        <f t="shared" si="22"/>
        <v>0</v>
      </c>
    </row>
    <row r="96" spans="1:47" x14ac:dyDescent="0.3">
      <c r="A96" s="73"/>
      <c r="B96" s="68"/>
      <c r="C96" s="68"/>
      <c r="D96" s="68"/>
      <c r="E96" s="68"/>
      <c r="F96" s="68"/>
      <c r="G96" s="68"/>
      <c r="H96" s="68"/>
      <c r="I96" s="68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J96" s="60">
        <f t="shared" si="16"/>
        <v>100000</v>
      </c>
      <c r="AK96" s="60">
        <f t="shared" si="17"/>
        <v>100000</v>
      </c>
      <c r="AL96" s="1" t="b">
        <f>FALSE</f>
        <v>0</v>
      </c>
      <c r="AO96" s="56" t="e">
        <f t="shared" si="18"/>
        <v>#VALUE!</v>
      </c>
      <c r="AP96" s="56">
        <f t="shared" si="19"/>
        <v>0</v>
      </c>
      <c r="AQ96" s="56">
        <f t="shared" si="20"/>
        <v>0</v>
      </c>
      <c r="AT96" s="57">
        <f t="shared" si="21"/>
        <v>0</v>
      </c>
      <c r="AU96" s="1" t="b">
        <f t="shared" si="22"/>
        <v>0</v>
      </c>
    </row>
    <row r="97" spans="1:47" x14ac:dyDescent="0.3">
      <c r="A97" s="73"/>
      <c r="B97" s="68"/>
      <c r="C97" s="68"/>
      <c r="D97" s="68"/>
      <c r="E97" s="68"/>
      <c r="F97" s="68"/>
      <c r="G97" s="68"/>
      <c r="H97" s="68"/>
      <c r="I97" s="68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J97" s="60">
        <f t="shared" si="16"/>
        <v>100000</v>
      </c>
      <c r="AK97" s="60">
        <f t="shared" si="17"/>
        <v>100000</v>
      </c>
      <c r="AL97" s="1" t="b">
        <f>FALSE</f>
        <v>0</v>
      </c>
      <c r="AO97" s="56" t="e">
        <f t="shared" si="18"/>
        <v>#VALUE!</v>
      </c>
      <c r="AP97" s="56">
        <f t="shared" si="19"/>
        <v>0</v>
      </c>
      <c r="AQ97" s="56">
        <f t="shared" si="20"/>
        <v>0</v>
      </c>
      <c r="AT97" s="57">
        <f t="shared" si="21"/>
        <v>0</v>
      </c>
      <c r="AU97" s="1" t="b">
        <f t="shared" si="22"/>
        <v>0</v>
      </c>
    </row>
    <row r="98" spans="1:47" x14ac:dyDescent="0.3">
      <c r="A98" s="73"/>
      <c r="B98" s="68"/>
      <c r="C98" s="68"/>
      <c r="D98" s="68"/>
      <c r="E98" s="68"/>
      <c r="F98" s="68"/>
      <c r="G98" s="68"/>
      <c r="H98" s="68"/>
      <c r="I98" s="68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J98" s="60">
        <f t="shared" si="16"/>
        <v>100000</v>
      </c>
      <c r="AK98" s="60">
        <f t="shared" si="17"/>
        <v>100000</v>
      </c>
      <c r="AL98" s="1" t="b">
        <f>FALSE</f>
        <v>0</v>
      </c>
      <c r="AO98" s="56" t="e">
        <f t="shared" si="18"/>
        <v>#VALUE!</v>
      </c>
      <c r="AP98" s="56">
        <f t="shared" si="19"/>
        <v>0</v>
      </c>
      <c r="AQ98" s="56">
        <f t="shared" si="20"/>
        <v>0</v>
      </c>
      <c r="AT98" s="57">
        <f t="shared" si="21"/>
        <v>0</v>
      </c>
      <c r="AU98" s="1" t="b">
        <f t="shared" si="22"/>
        <v>0</v>
      </c>
    </row>
    <row r="99" spans="1:47" x14ac:dyDescent="0.3">
      <c r="A99" s="73"/>
      <c r="B99" s="68"/>
      <c r="C99" s="68"/>
      <c r="D99" s="68"/>
      <c r="E99" s="68"/>
      <c r="F99" s="68"/>
      <c r="G99" s="68"/>
      <c r="H99" s="68"/>
      <c r="I99" s="68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J99" s="60">
        <f t="shared" si="16"/>
        <v>100000</v>
      </c>
      <c r="AK99" s="60">
        <f t="shared" si="17"/>
        <v>100000</v>
      </c>
      <c r="AL99" s="1" t="b">
        <f>FALSE</f>
        <v>0</v>
      </c>
      <c r="AO99" s="56" t="e">
        <f t="shared" si="18"/>
        <v>#VALUE!</v>
      </c>
      <c r="AP99" s="56">
        <f t="shared" si="19"/>
        <v>0</v>
      </c>
      <c r="AQ99" s="56">
        <f t="shared" si="20"/>
        <v>0</v>
      </c>
      <c r="AT99" s="57">
        <f t="shared" si="21"/>
        <v>0</v>
      </c>
      <c r="AU99" s="1" t="b">
        <f t="shared" si="22"/>
        <v>0</v>
      </c>
    </row>
    <row r="100" spans="1:47" x14ac:dyDescent="0.3">
      <c r="A100" s="73"/>
      <c r="B100" s="68"/>
      <c r="C100" s="68"/>
      <c r="D100" s="68"/>
      <c r="E100" s="68"/>
      <c r="F100" s="68"/>
      <c r="G100" s="68"/>
      <c r="H100" s="68"/>
      <c r="I100" s="68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J100" s="60">
        <f t="shared" si="16"/>
        <v>100000</v>
      </c>
      <c r="AK100" s="60">
        <f t="shared" si="17"/>
        <v>100000</v>
      </c>
      <c r="AL100" s="1" t="b">
        <f>FALSE</f>
        <v>0</v>
      </c>
      <c r="AO100" s="56" t="e">
        <f t="shared" si="18"/>
        <v>#VALUE!</v>
      </c>
      <c r="AP100" s="56">
        <f t="shared" si="19"/>
        <v>0</v>
      </c>
      <c r="AQ100" s="56">
        <f t="shared" si="20"/>
        <v>0</v>
      </c>
      <c r="AT100" s="57">
        <f t="shared" si="21"/>
        <v>0</v>
      </c>
      <c r="AU100" s="1" t="b">
        <f t="shared" si="22"/>
        <v>0</v>
      </c>
    </row>
    <row r="101" spans="1:47" x14ac:dyDescent="0.3">
      <c r="A101" s="73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J101" s="60">
        <f t="shared" si="16"/>
        <v>100000</v>
      </c>
      <c r="AK101" s="60">
        <f t="shared" si="17"/>
        <v>100000</v>
      </c>
      <c r="AL101" s="1" t="b">
        <f>FALSE</f>
        <v>0</v>
      </c>
      <c r="AO101" s="56" t="e">
        <f t="shared" si="18"/>
        <v>#VALUE!</v>
      </c>
      <c r="AP101" s="56">
        <f t="shared" si="19"/>
        <v>0</v>
      </c>
      <c r="AQ101" s="56">
        <f t="shared" si="20"/>
        <v>0</v>
      </c>
      <c r="AT101" s="57">
        <f t="shared" si="21"/>
        <v>0</v>
      </c>
      <c r="AU101" s="1" t="b">
        <f t="shared" si="22"/>
        <v>0</v>
      </c>
    </row>
    <row r="102" spans="1:47" x14ac:dyDescent="0.3">
      <c r="A102" s="73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J102" s="60">
        <f t="shared" si="16"/>
        <v>100000</v>
      </c>
      <c r="AK102" s="60">
        <f t="shared" si="17"/>
        <v>100000</v>
      </c>
      <c r="AL102" s="1" t="b">
        <f>FALSE</f>
        <v>0</v>
      </c>
      <c r="AO102" s="56" t="e">
        <f t="shared" si="18"/>
        <v>#VALUE!</v>
      </c>
      <c r="AP102" s="56">
        <f t="shared" si="19"/>
        <v>0</v>
      </c>
      <c r="AQ102" s="56">
        <f t="shared" si="20"/>
        <v>0</v>
      </c>
      <c r="AT102" s="57">
        <f t="shared" si="21"/>
        <v>0</v>
      </c>
      <c r="AU102" s="1" t="b">
        <f t="shared" si="22"/>
        <v>0</v>
      </c>
    </row>
    <row r="103" spans="1:47" x14ac:dyDescent="0.3">
      <c r="A103" s="73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J103" s="60">
        <f t="shared" si="16"/>
        <v>100000</v>
      </c>
      <c r="AK103" s="60">
        <f t="shared" si="17"/>
        <v>100000</v>
      </c>
      <c r="AL103" s="1" t="b">
        <f>FALSE</f>
        <v>0</v>
      </c>
      <c r="AO103" s="56" t="e">
        <f t="shared" si="18"/>
        <v>#VALUE!</v>
      </c>
      <c r="AP103" s="56">
        <f t="shared" si="19"/>
        <v>0</v>
      </c>
      <c r="AQ103" s="56">
        <f t="shared" si="20"/>
        <v>0</v>
      </c>
      <c r="AT103" s="57">
        <f t="shared" si="21"/>
        <v>0</v>
      </c>
      <c r="AU103" s="1" t="b">
        <f t="shared" si="22"/>
        <v>0</v>
      </c>
    </row>
    <row r="104" spans="1:47" x14ac:dyDescent="0.3">
      <c r="A104" s="73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J104" s="60">
        <f t="shared" si="16"/>
        <v>100000</v>
      </c>
      <c r="AK104" s="60">
        <f t="shared" si="17"/>
        <v>100000</v>
      </c>
      <c r="AL104" s="1" t="b">
        <f>FALSE</f>
        <v>0</v>
      </c>
      <c r="AO104" s="56" t="e">
        <f t="shared" si="18"/>
        <v>#VALUE!</v>
      </c>
      <c r="AP104" s="56">
        <f t="shared" si="19"/>
        <v>0</v>
      </c>
      <c r="AQ104" s="56">
        <f t="shared" si="20"/>
        <v>0</v>
      </c>
      <c r="AT104" s="57">
        <f t="shared" si="21"/>
        <v>0</v>
      </c>
      <c r="AU104" s="1" t="b">
        <f t="shared" si="22"/>
        <v>0</v>
      </c>
    </row>
    <row r="105" spans="1:47" x14ac:dyDescent="0.3">
      <c r="A105" s="73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J105" s="60">
        <f t="shared" si="16"/>
        <v>100000</v>
      </c>
      <c r="AK105" s="60">
        <f t="shared" si="17"/>
        <v>100000</v>
      </c>
      <c r="AL105" s="1" t="b">
        <f>FALSE</f>
        <v>0</v>
      </c>
      <c r="AO105" s="56" t="e">
        <f t="shared" si="18"/>
        <v>#VALUE!</v>
      </c>
      <c r="AP105" s="56">
        <f t="shared" si="19"/>
        <v>0</v>
      </c>
      <c r="AQ105" s="56">
        <f t="shared" si="20"/>
        <v>0</v>
      </c>
      <c r="AT105" s="57">
        <f t="shared" si="21"/>
        <v>0</v>
      </c>
      <c r="AU105" s="1" t="b">
        <f t="shared" si="22"/>
        <v>0</v>
      </c>
    </row>
    <row r="106" spans="1:47" x14ac:dyDescent="0.3">
      <c r="A106" s="73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J106" s="60">
        <f t="shared" si="16"/>
        <v>100000</v>
      </c>
      <c r="AK106" s="60">
        <f t="shared" si="17"/>
        <v>100000</v>
      </c>
      <c r="AL106" s="1" t="b">
        <f>FALSE</f>
        <v>0</v>
      </c>
      <c r="AO106" s="56" t="e">
        <f t="shared" si="18"/>
        <v>#VALUE!</v>
      </c>
      <c r="AP106" s="56">
        <f t="shared" si="19"/>
        <v>0</v>
      </c>
      <c r="AQ106" s="56">
        <f t="shared" si="20"/>
        <v>0</v>
      </c>
      <c r="AT106" s="57">
        <f t="shared" si="21"/>
        <v>0</v>
      </c>
      <c r="AU106" s="1" t="b">
        <f t="shared" si="22"/>
        <v>0</v>
      </c>
    </row>
    <row r="107" spans="1:47" x14ac:dyDescent="0.3">
      <c r="A107" s="73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J107" s="60">
        <f t="shared" si="16"/>
        <v>100000</v>
      </c>
      <c r="AK107" s="60">
        <f t="shared" si="17"/>
        <v>100000</v>
      </c>
      <c r="AL107" s="1" t="b">
        <f>FALSE</f>
        <v>0</v>
      </c>
      <c r="AO107" s="56" t="e">
        <f t="shared" si="18"/>
        <v>#VALUE!</v>
      </c>
      <c r="AP107" s="56">
        <f t="shared" si="19"/>
        <v>0</v>
      </c>
      <c r="AQ107" s="56">
        <f t="shared" si="20"/>
        <v>0</v>
      </c>
      <c r="AT107" s="57">
        <f t="shared" si="21"/>
        <v>0</v>
      </c>
      <c r="AU107" s="1" t="b">
        <f t="shared" si="22"/>
        <v>0</v>
      </c>
    </row>
    <row r="108" spans="1:47" x14ac:dyDescent="0.3">
      <c r="A108" s="73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</row>
    <row r="109" spans="1:47" x14ac:dyDescent="0.3">
      <c r="A109" s="72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</row>
    <row r="110" spans="1:47" x14ac:dyDescent="0.3">
      <c r="A110" s="72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</row>
    <row r="111" spans="1:47" x14ac:dyDescent="0.3">
      <c r="A111" s="72"/>
      <c r="B111" s="69"/>
      <c r="C111" s="69"/>
      <c r="D111" s="69"/>
      <c r="E111" s="69"/>
      <c r="F111" s="69"/>
      <c r="G111" s="69"/>
      <c r="H111" s="69"/>
      <c r="I111" s="69"/>
      <c r="J111" s="69"/>
      <c r="K111" s="69"/>
      <c r="L111" s="69"/>
      <c r="M111" s="69"/>
      <c r="N111" s="69"/>
      <c r="O111" s="69"/>
      <c r="P111" s="69"/>
      <c r="Q111" s="69"/>
      <c r="R111" s="69"/>
      <c r="S111" s="69"/>
      <c r="T111" s="69"/>
      <c r="U111" s="69"/>
      <c r="V111" s="69"/>
      <c r="W111" s="69"/>
      <c r="X111" s="69"/>
      <c r="Y111" s="69"/>
      <c r="Z111" s="69"/>
      <c r="AA111" s="69"/>
    </row>
    <row r="112" spans="1:47" x14ac:dyDescent="0.3">
      <c r="A112" s="72"/>
    </row>
    <row r="113" spans="1:1" x14ac:dyDescent="0.3">
      <c r="A113" s="72"/>
    </row>
    <row r="114" spans="1:1" x14ac:dyDescent="0.3">
      <c r="A114" s="72"/>
    </row>
    <row r="115" spans="1:1" x14ac:dyDescent="0.3">
      <c r="A115" s="72"/>
    </row>
    <row r="116" spans="1:1" x14ac:dyDescent="0.3">
      <c r="A116" s="72"/>
    </row>
    <row r="117" spans="1:1" x14ac:dyDescent="0.3">
      <c r="A117" s="72"/>
    </row>
    <row r="118" spans="1:1" x14ac:dyDescent="0.3">
      <c r="A118" s="72"/>
    </row>
    <row r="119" spans="1:1" x14ac:dyDescent="0.3">
      <c r="A119" s="72"/>
    </row>
    <row r="120" spans="1:1" x14ac:dyDescent="0.3">
      <c r="A120" s="72"/>
    </row>
    <row r="121" spans="1:1" x14ac:dyDescent="0.3">
      <c r="A121" s="72"/>
    </row>
    <row r="122" spans="1:1" x14ac:dyDescent="0.3">
      <c r="A122" s="72"/>
    </row>
    <row r="123" spans="1:1" x14ac:dyDescent="0.3">
      <c r="A123" s="72"/>
    </row>
    <row r="124" spans="1:1" x14ac:dyDescent="0.3">
      <c r="A124" s="72"/>
    </row>
    <row r="125" spans="1:1" x14ac:dyDescent="0.3">
      <c r="A125" s="72"/>
    </row>
    <row r="126" spans="1:1" x14ac:dyDescent="0.3">
      <c r="A126" s="72"/>
    </row>
    <row r="127" spans="1:1" x14ac:dyDescent="0.3">
      <c r="A127" s="72"/>
    </row>
    <row r="128" spans="1:1" x14ac:dyDescent="0.3">
      <c r="A128" s="72"/>
    </row>
    <row r="129" spans="1:1" x14ac:dyDescent="0.3">
      <c r="A129" s="72"/>
    </row>
    <row r="130" spans="1:1" x14ac:dyDescent="0.3">
      <c r="A130" s="72"/>
    </row>
    <row r="131" spans="1:1" x14ac:dyDescent="0.3">
      <c r="A131" s="72"/>
    </row>
    <row r="132" spans="1:1" x14ac:dyDescent="0.3">
      <c r="A132" s="72"/>
    </row>
    <row r="133" spans="1:1" x14ac:dyDescent="0.3">
      <c r="A133" s="72"/>
    </row>
    <row r="134" spans="1:1" x14ac:dyDescent="0.3">
      <c r="A134" s="72"/>
    </row>
    <row r="135" spans="1:1" x14ac:dyDescent="0.3">
      <c r="A135" s="72"/>
    </row>
    <row r="136" spans="1:1" x14ac:dyDescent="0.3">
      <c r="A136" s="72"/>
    </row>
    <row r="137" spans="1:1" x14ac:dyDescent="0.3">
      <c r="A137" s="72"/>
    </row>
    <row r="138" spans="1:1" x14ac:dyDescent="0.3">
      <c r="A138" s="72"/>
    </row>
    <row r="139" spans="1:1" x14ac:dyDescent="0.3">
      <c r="A139" s="72"/>
    </row>
    <row r="140" spans="1:1" x14ac:dyDescent="0.3">
      <c r="A140" s="72"/>
    </row>
    <row r="141" spans="1:1" x14ac:dyDescent="0.3">
      <c r="A141" s="72"/>
    </row>
    <row r="142" spans="1:1" x14ac:dyDescent="0.3">
      <c r="A142" s="72"/>
    </row>
    <row r="143" spans="1:1" x14ac:dyDescent="0.3">
      <c r="A143" s="72"/>
    </row>
    <row r="144" spans="1:1" x14ac:dyDescent="0.3">
      <c r="A144" s="72"/>
    </row>
    <row r="145" spans="1:1" x14ac:dyDescent="0.3">
      <c r="A145" s="72"/>
    </row>
    <row r="146" spans="1:1" x14ac:dyDescent="0.3">
      <c r="A146" s="72"/>
    </row>
    <row r="147" spans="1:1" x14ac:dyDescent="0.3">
      <c r="A147" s="72"/>
    </row>
    <row r="148" spans="1:1" x14ac:dyDescent="0.3">
      <c r="A148" s="72"/>
    </row>
    <row r="149" spans="1:1" x14ac:dyDescent="0.3">
      <c r="A149" s="72"/>
    </row>
    <row r="150" spans="1:1" x14ac:dyDescent="0.3">
      <c r="A150" s="72"/>
    </row>
    <row r="151" spans="1:1" x14ac:dyDescent="0.3">
      <c r="A151" s="72"/>
    </row>
    <row r="152" spans="1:1" x14ac:dyDescent="0.3">
      <c r="A152" s="72"/>
    </row>
    <row r="153" spans="1:1" x14ac:dyDescent="0.3">
      <c r="A153" s="72"/>
    </row>
    <row r="154" spans="1:1" x14ac:dyDescent="0.3">
      <c r="A154" s="72"/>
    </row>
    <row r="155" spans="1:1" x14ac:dyDescent="0.3">
      <c r="A155" s="72"/>
    </row>
    <row r="156" spans="1:1" x14ac:dyDescent="0.3">
      <c r="A156" s="72"/>
    </row>
    <row r="157" spans="1:1" x14ac:dyDescent="0.3">
      <c r="A157" s="72"/>
    </row>
    <row r="158" spans="1:1" x14ac:dyDescent="0.3">
      <c r="A158" s="72"/>
    </row>
    <row r="159" spans="1:1" x14ac:dyDescent="0.3">
      <c r="A159" s="72"/>
    </row>
    <row r="160" spans="1:1" x14ac:dyDescent="0.3">
      <c r="A160" s="72"/>
    </row>
    <row r="161" spans="1:1" x14ac:dyDescent="0.3">
      <c r="A161" s="72"/>
    </row>
    <row r="162" spans="1:1" x14ac:dyDescent="0.3">
      <c r="A162" s="72"/>
    </row>
    <row r="163" spans="1:1" x14ac:dyDescent="0.3">
      <c r="A163" s="72"/>
    </row>
    <row r="164" spans="1:1" x14ac:dyDescent="0.3">
      <c r="A164" s="72"/>
    </row>
    <row r="165" spans="1:1" x14ac:dyDescent="0.3">
      <c r="A165" s="72"/>
    </row>
    <row r="166" spans="1:1" x14ac:dyDescent="0.3">
      <c r="A166" s="72"/>
    </row>
    <row r="167" spans="1:1" x14ac:dyDescent="0.3">
      <c r="A167" s="72"/>
    </row>
    <row r="168" spans="1:1" x14ac:dyDescent="0.3">
      <c r="A168" s="72"/>
    </row>
    <row r="169" spans="1:1" x14ac:dyDescent="0.3">
      <c r="A169" s="72"/>
    </row>
    <row r="170" spans="1:1" x14ac:dyDescent="0.3">
      <c r="A170" s="72"/>
    </row>
    <row r="171" spans="1:1" x14ac:dyDescent="0.3">
      <c r="A171" s="72"/>
    </row>
    <row r="172" spans="1:1" x14ac:dyDescent="0.3">
      <c r="A172" s="72"/>
    </row>
    <row r="173" spans="1:1" x14ac:dyDescent="0.3">
      <c r="A173" s="72"/>
    </row>
    <row r="174" spans="1:1" x14ac:dyDescent="0.3">
      <c r="A174" s="72"/>
    </row>
    <row r="175" spans="1:1" x14ac:dyDescent="0.3">
      <c r="A175" s="72"/>
    </row>
    <row r="176" spans="1:1" x14ac:dyDescent="0.3">
      <c r="A176" s="72"/>
    </row>
    <row r="177" spans="1:1" x14ac:dyDescent="0.3">
      <c r="A177" s="72"/>
    </row>
    <row r="178" spans="1:1" x14ac:dyDescent="0.3">
      <c r="A178" s="72"/>
    </row>
    <row r="179" spans="1:1" x14ac:dyDescent="0.3">
      <c r="A179" s="72"/>
    </row>
    <row r="180" spans="1:1" x14ac:dyDescent="0.3">
      <c r="A180" s="72"/>
    </row>
    <row r="181" spans="1:1" x14ac:dyDescent="0.3">
      <c r="A181" s="72"/>
    </row>
    <row r="182" spans="1:1" x14ac:dyDescent="0.3">
      <c r="A182" s="72"/>
    </row>
    <row r="183" spans="1:1" x14ac:dyDescent="0.3">
      <c r="A183" s="72"/>
    </row>
    <row r="184" spans="1:1" x14ac:dyDescent="0.3">
      <c r="A184" s="72"/>
    </row>
    <row r="185" spans="1:1" x14ac:dyDescent="0.3">
      <c r="A185" s="72"/>
    </row>
    <row r="186" spans="1:1" x14ac:dyDescent="0.3">
      <c r="A186" s="72"/>
    </row>
    <row r="187" spans="1:1" x14ac:dyDescent="0.3">
      <c r="A187" s="72"/>
    </row>
    <row r="188" spans="1:1" x14ac:dyDescent="0.3">
      <c r="A188" s="72"/>
    </row>
    <row r="189" spans="1:1" x14ac:dyDescent="0.3">
      <c r="A189" s="72"/>
    </row>
    <row r="190" spans="1:1" x14ac:dyDescent="0.3">
      <c r="A190" s="72"/>
    </row>
    <row r="191" spans="1:1" x14ac:dyDescent="0.3">
      <c r="A191" s="72"/>
    </row>
    <row r="192" spans="1:1" x14ac:dyDescent="0.3">
      <c r="A192" s="72"/>
    </row>
    <row r="193" spans="1:1" x14ac:dyDescent="0.3">
      <c r="A193" s="72"/>
    </row>
    <row r="194" spans="1:1" x14ac:dyDescent="0.3">
      <c r="A194" s="72"/>
    </row>
    <row r="195" spans="1:1" x14ac:dyDescent="0.3">
      <c r="A195" s="72"/>
    </row>
    <row r="196" spans="1:1" x14ac:dyDescent="0.3">
      <c r="A196" s="72"/>
    </row>
    <row r="197" spans="1:1" x14ac:dyDescent="0.3">
      <c r="A197" s="72"/>
    </row>
    <row r="198" spans="1:1" x14ac:dyDescent="0.3">
      <c r="A198" s="72"/>
    </row>
    <row r="199" spans="1:1" x14ac:dyDescent="0.3">
      <c r="A199" s="72"/>
    </row>
    <row r="200" spans="1:1" x14ac:dyDescent="0.3">
      <c r="A200" s="72"/>
    </row>
    <row r="201" spans="1:1" x14ac:dyDescent="0.3">
      <c r="A201" s="72"/>
    </row>
    <row r="202" spans="1:1" x14ac:dyDescent="0.3">
      <c r="A202" s="72"/>
    </row>
    <row r="203" spans="1:1" x14ac:dyDescent="0.3">
      <c r="A203" s="72"/>
    </row>
    <row r="204" spans="1:1" x14ac:dyDescent="0.3">
      <c r="A204" s="72"/>
    </row>
    <row r="205" spans="1:1" x14ac:dyDescent="0.3">
      <c r="A205" s="72"/>
    </row>
    <row r="206" spans="1:1" x14ac:dyDescent="0.3">
      <c r="A206" s="72"/>
    </row>
    <row r="207" spans="1:1" x14ac:dyDescent="0.3">
      <c r="A207" s="72"/>
    </row>
    <row r="208" spans="1:1" x14ac:dyDescent="0.3">
      <c r="A208" s="72"/>
    </row>
    <row r="209" spans="1:1" x14ac:dyDescent="0.3">
      <c r="A209" s="72"/>
    </row>
    <row r="210" spans="1:1" x14ac:dyDescent="0.3">
      <c r="A210" s="72"/>
    </row>
    <row r="211" spans="1:1" x14ac:dyDescent="0.3">
      <c r="A211" s="72"/>
    </row>
    <row r="212" spans="1:1" x14ac:dyDescent="0.3">
      <c r="A212" s="72"/>
    </row>
    <row r="213" spans="1:1" x14ac:dyDescent="0.3">
      <c r="A213" s="72"/>
    </row>
    <row r="214" spans="1:1" x14ac:dyDescent="0.3">
      <c r="A214" s="72"/>
    </row>
    <row r="215" spans="1:1" x14ac:dyDescent="0.3">
      <c r="A215" s="72"/>
    </row>
    <row r="216" spans="1:1" x14ac:dyDescent="0.3">
      <c r="A216" s="72"/>
    </row>
    <row r="217" spans="1:1" x14ac:dyDescent="0.3">
      <c r="A217" s="72"/>
    </row>
    <row r="218" spans="1:1" x14ac:dyDescent="0.3">
      <c r="A218" s="72"/>
    </row>
    <row r="219" spans="1:1" x14ac:dyDescent="0.3">
      <c r="A219" s="72"/>
    </row>
    <row r="220" spans="1:1" x14ac:dyDescent="0.3">
      <c r="A220" s="72"/>
    </row>
    <row r="221" spans="1:1" x14ac:dyDescent="0.3">
      <c r="A221" s="72"/>
    </row>
    <row r="222" spans="1:1" x14ac:dyDescent="0.3">
      <c r="A222" s="72"/>
    </row>
    <row r="223" spans="1:1" x14ac:dyDescent="0.3">
      <c r="A223" s="72"/>
    </row>
    <row r="224" spans="1:1" x14ac:dyDescent="0.3">
      <c r="A224" s="72"/>
    </row>
    <row r="225" spans="1:1" x14ac:dyDescent="0.3">
      <c r="A225" s="72"/>
    </row>
    <row r="226" spans="1:1" x14ac:dyDescent="0.3">
      <c r="A226" s="72"/>
    </row>
    <row r="227" spans="1:1" x14ac:dyDescent="0.3">
      <c r="A227" s="72"/>
    </row>
    <row r="228" spans="1:1" x14ac:dyDescent="0.3">
      <c r="A228" s="72"/>
    </row>
    <row r="229" spans="1:1" x14ac:dyDescent="0.3">
      <c r="A229" s="72"/>
    </row>
    <row r="230" spans="1:1" x14ac:dyDescent="0.3">
      <c r="A230" s="72"/>
    </row>
    <row r="231" spans="1:1" x14ac:dyDescent="0.3">
      <c r="A231" s="72"/>
    </row>
    <row r="232" spans="1:1" x14ac:dyDescent="0.3">
      <c r="A232" s="72"/>
    </row>
    <row r="233" spans="1:1" x14ac:dyDescent="0.3">
      <c r="A233" s="72"/>
    </row>
    <row r="234" spans="1:1" x14ac:dyDescent="0.3">
      <c r="A234" s="72"/>
    </row>
    <row r="235" spans="1:1" x14ac:dyDescent="0.3">
      <c r="A235" s="72"/>
    </row>
    <row r="236" spans="1:1" x14ac:dyDescent="0.3">
      <c r="A236" s="72"/>
    </row>
    <row r="237" spans="1:1" x14ac:dyDescent="0.3">
      <c r="A237" s="72"/>
    </row>
    <row r="238" spans="1:1" x14ac:dyDescent="0.3">
      <c r="A238" s="72"/>
    </row>
    <row r="239" spans="1:1" x14ac:dyDescent="0.3">
      <c r="A239" s="72"/>
    </row>
    <row r="240" spans="1:1" x14ac:dyDescent="0.3">
      <c r="A240" s="72"/>
    </row>
    <row r="241" spans="1:1" x14ac:dyDescent="0.3">
      <c r="A241" s="72"/>
    </row>
    <row r="242" spans="1:1" x14ac:dyDescent="0.3">
      <c r="A242" s="72"/>
    </row>
    <row r="243" spans="1:1" x14ac:dyDescent="0.3">
      <c r="A243" s="72"/>
    </row>
    <row r="244" spans="1:1" x14ac:dyDescent="0.3">
      <c r="A244" s="72"/>
    </row>
    <row r="245" spans="1:1" x14ac:dyDescent="0.3">
      <c r="A245" s="72"/>
    </row>
    <row r="246" spans="1:1" x14ac:dyDescent="0.3">
      <c r="A246" s="72"/>
    </row>
    <row r="247" spans="1:1" x14ac:dyDescent="0.3">
      <c r="A247" s="72"/>
    </row>
    <row r="248" spans="1:1" x14ac:dyDescent="0.3">
      <c r="A248" s="72"/>
    </row>
    <row r="249" spans="1:1" x14ac:dyDescent="0.3">
      <c r="A249" s="72"/>
    </row>
    <row r="250" spans="1:1" x14ac:dyDescent="0.3">
      <c r="A250" s="72"/>
    </row>
  </sheetData>
  <mergeCells count="38">
    <mergeCell ref="B2:D2"/>
    <mergeCell ref="E2:H2"/>
    <mergeCell ref="B3:D3"/>
    <mergeCell ref="E3:H3"/>
    <mergeCell ref="B4:D4"/>
    <mergeCell ref="E4:H4"/>
    <mergeCell ref="T4:V4"/>
    <mergeCell ref="Y4:AC4"/>
    <mergeCell ref="B5:D5"/>
    <mergeCell ref="E5:H5"/>
    <mergeCell ref="T5:V5"/>
    <mergeCell ref="AB5:AC7"/>
    <mergeCell ref="AE5:AH5"/>
    <mergeCell ref="B6:D6"/>
    <mergeCell ref="E6:H6"/>
    <mergeCell ref="AE6:AH6"/>
    <mergeCell ref="B7:D7"/>
    <mergeCell ref="E7:H7"/>
    <mergeCell ref="AE7:AH7"/>
    <mergeCell ref="F17:I17"/>
    <mergeCell ref="AE8:AH8"/>
    <mergeCell ref="F9:J9"/>
    <mergeCell ref="AB9:AC11"/>
    <mergeCell ref="AE9:AH9"/>
    <mergeCell ref="F10:I10"/>
    <mergeCell ref="AE10:AH10"/>
    <mergeCell ref="F11:I11"/>
    <mergeCell ref="AE11:AH11"/>
    <mergeCell ref="F12:I12"/>
    <mergeCell ref="F13:I13"/>
    <mergeCell ref="F14:I14"/>
    <mergeCell ref="F15:I15"/>
    <mergeCell ref="F16:I16"/>
    <mergeCell ref="F18:I18"/>
    <mergeCell ref="F19:I19"/>
    <mergeCell ref="L21:M21"/>
    <mergeCell ref="Q47:Q48"/>
    <mergeCell ref="R47:T48"/>
  </mergeCells>
  <dataValidations disablePrompts="1" count="1">
    <dataValidation type="decimal" operator="notEqual" allowBlank="1" showInputMessage="1" showErrorMessage="1" error="Numbers only please!" sqref="B30:C36">
      <formula1>-431.2126</formula1>
    </dataValidation>
  </dataValidations>
  <printOptions horizontalCentered="1"/>
  <pageMargins left="0.5" right="0.5" top="1.25" bottom="0.5" header="0.85" footer="0.25"/>
  <pageSetup scale="70" orientation="landscape" r:id="rId1"/>
  <headerFooter alignWithMargins="0">
    <oddHeader>&amp;C&amp;"Times New Roman,Bold"&amp;20&amp;UCross-Section Plots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UserMessage.UserMessage">
                <anchor moveWithCells="1">
                  <from>
                    <xdr:col>1</xdr:col>
                    <xdr:colOff>12700</xdr:colOff>
                    <xdr:row>45</xdr:row>
                    <xdr:rowOff>63500</xdr:rowOff>
                  </from>
                  <to>
                    <xdr:col>2</xdr:col>
                    <xdr:colOff>584200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ScaleAxes">
                <anchor moveWithCells="1">
                  <from>
                    <xdr:col>3</xdr:col>
                    <xdr:colOff>19050</xdr:colOff>
                    <xdr:row>45</xdr:row>
                    <xdr:rowOff>69850</xdr:rowOff>
                  </from>
                  <to>
                    <xdr:col>4</xdr:col>
                    <xdr:colOff>342900</xdr:colOff>
                    <xdr:row>48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6" name="Button 14">
              <controlPr defaultSize="0" print="0" autoFill="0" autoPict="0" macro="[0]!RangeMove.RangeMove">
                <anchor moveWithCells="1">
                  <from>
                    <xdr:col>4</xdr:col>
                    <xdr:colOff>527050</xdr:colOff>
                    <xdr:row>45</xdr:row>
                    <xdr:rowOff>69850</xdr:rowOff>
                  </from>
                  <to>
                    <xdr:col>6</xdr:col>
                    <xdr:colOff>431800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7" name="Button 20">
              <controlPr defaultSize="0" print="0" autoFill="0" autoPict="0" macro="[0]!getBkfByArea">
                <anchor moveWithCells="1">
                  <from>
                    <xdr:col>19</xdr:col>
                    <xdr:colOff>444500</xdr:colOff>
                    <xdr:row>38</xdr:row>
                    <xdr:rowOff>12700</xdr:rowOff>
                  </from>
                  <to>
                    <xdr:col>20</xdr:col>
                    <xdr:colOff>158750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8" name="Button 24">
              <controlPr defaultSize="0" print="0" autoFill="0" autoPict="0" macro="[0]!getBkfByQ">
                <anchor moveWithCells="1">
                  <from>
                    <xdr:col>22</xdr:col>
                    <xdr:colOff>406400</xdr:colOff>
                    <xdr:row>38</xdr:row>
                    <xdr:rowOff>12700</xdr:rowOff>
                  </from>
                  <to>
                    <xdr:col>23</xdr:col>
                    <xdr:colOff>260350</xdr:colOff>
                    <xdr:row>40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9" name="Button 34">
              <controlPr defaultSize="0" print="0" autoFill="0" autoPict="0" macro="[0]!optimizeBkf">
                <anchor moveWithCells="1">
                  <from>
                    <xdr:col>25</xdr:col>
                    <xdr:colOff>19050</xdr:colOff>
                    <xdr:row>29</xdr:row>
                    <xdr:rowOff>158750</xdr:rowOff>
                  </from>
                  <to>
                    <xdr:col>26</xdr:col>
                    <xdr:colOff>577850</xdr:colOff>
                    <xdr:row>32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XS A</vt:lpstr>
      <vt:lpstr>'XS A'!BKF</vt:lpstr>
      <vt:lpstr>'XS A'!currentEL</vt:lpstr>
      <vt:lpstr>'XS A'!currentSTATION</vt:lpstr>
      <vt:lpstr>'XS A'!FPA</vt:lpstr>
      <vt:lpstr>'XS A'!LEFTRIGHT</vt:lpstr>
      <vt:lpstr>'XS A'!Print_Area</vt:lpstr>
      <vt:lpstr>'XS A'!TITLE</vt:lpstr>
    </vt:vector>
  </TitlesOfParts>
  <Company>KCI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gmryncz</dc:creator>
  <cp:lastModifiedBy>Sky Jones</cp:lastModifiedBy>
  <cp:lastPrinted>2012-11-12T15:37:07Z</cp:lastPrinted>
  <dcterms:created xsi:type="dcterms:W3CDTF">2002-05-21T13:52:35Z</dcterms:created>
  <dcterms:modified xsi:type="dcterms:W3CDTF">2018-02-15T16:29:24Z</dcterms:modified>
</cp:coreProperties>
</file>